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trent\Documents\BANA 6740\"/>
    </mc:Choice>
  </mc:AlternateContent>
  <xr:revisionPtr revIDLastSave="0" documentId="13_ncr:1_{EB46EB1D-A848-4AE9-AE8F-3C91258E5A1E}" xr6:coauthVersionLast="43" xr6:coauthVersionMax="43" xr10:uidLastSave="{00000000-0000-0000-0000-000000000000}"/>
  <bookViews>
    <workbookView xWindow="28680" yWindow="-120" windowWidth="29040" windowHeight="15840" activeTab="4" xr2:uid="{4DDE397B-5450-4D0F-BD28-9AD139D3F307}"/>
  </bookViews>
  <sheets>
    <sheet name="Basic Problem" sheetId="1" r:id="rId1"/>
    <sheet name="Problem set up" sheetId="2" r:id="rId2"/>
    <sheet name="Solution" sheetId="3" r:id="rId3"/>
    <sheet name="Sensitivity Report 1" sheetId="5" r:id="rId4"/>
    <sheet name="Optimizing Rig 3" sheetId="4" r:id="rId5"/>
  </sheets>
  <definedNames>
    <definedName name="solver_adj" localSheetId="4" hidden="1">'Optimizing Rig 3'!$C$31:$G$31</definedName>
    <definedName name="solver_adj" localSheetId="2" hidden="1">Solution!$C$31:$G$31</definedName>
    <definedName name="solver_cvg" localSheetId="4" hidden="1">0.0001</definedName>
    <definedName name="solver_cvg" localSheetId="2" hidden="1">0.0001</definedName>
    <definedName name="solver_drv" localSheetId="4" hidden="1">2</definedName>
    <definedName name="solver_drv" localSheetId="2" hidden="1">2</definedName>
    <definedName name="solver_eng" localSheetId="4" hidden="1">2</definedName>
    <definedName name="solver_eng" localSheetId="2" hidden="1">2</definedName>
    <definedName name="solver_est" localSheetId="4" hidden="1">1</definedName>
    <definedName name="solver_est" localSheetId="2" hidden="1">1</definedName>
    <definedName name="solver_itr" localSheetId="4" hidden="1">2147483647</definedName>
    <definedName name="solver_itr" localSheetId="2" hidden="1">2147483647</definedName>
    <definedName name="solver_lhs1" localSheetId="4" hidden="1">'Optimizing Rig 3'!$C$28</definedName>
    <definedName name="solver_lhs1" localSheetId="2" hidden="1">Solution!$C$28</definedName>
    <definedName name="solver_lhs2" localSheetId="4" hidden="1">'Optimizing Rig 3'!$J$5:$J$24</definedName>
    <definedName name="solver_lhs2" localSheetId="2" hidden="1">Solution!$J$5:$J$24</definedName>
    <definedName name="solver_mip" localSheetId="4" hidden="1">2147483647</definedName>
    <definedName name="solver_mip" localSheetId="2" hidden="1">2147483647</definedName>
    <definedName name="solver_mni" localSheetId="4" hidden="1">30</definedName>
    <definedName name="solver_mni" localSheetId="2" hidden="1">30</definedName>
    <definedName name="solver_mrt" localSheetId="4" hidden="1">0.075</definedName>
    <definedName name="solver_mrt" localSheetId="2" hidden="1">0.075</definedName>
    <definedName name="solver_msl" localSheetId="4" hidden="1">2</definedName>
    <definedName name="solver_msl" localSheetId="2" hidden="1">2</definedName>
    <definedName name="solver_neg" localSheetId="4" hidden="1">1</definedName>
    <definedName name="solver_neg" localSheetId="2" hidden="1">1</definedName>
    <definedName name="solver_nod" localSheetId="4" hidden="1">2147483647</definedName>
    <definedName name="solver_nod" localSheetId="2" hidden="1">2147483647</definedName>
    <definedName name="solver_num" localSheetId="4" hidden="1">2</definedName>
    <definedName name="solver_num" localSheetId="2" hidden="1">2</definedName>
    <definedName name="solver_nwt" localSheetId="4" hidden="1">1</definedName>
    <definedName name="solver_nwt" localSheetId="2" hidden="1">1</definedName>
    <definedName name="solver_opt" localSheetId="4" hidden="1">'Optimizing Rig 3'!$C$27</definedName>
    <definedName name="solver_opt" localSheetId="2" hidden="1">Solution!$C$27</definedName>
    <definedName name="solver_pre" localSheetId="4" hidden="1">0.000001</definedName>
    <definedName name="solver_pre" localSheetId="2" hidden="1">0.000001</definedName>
    <definedName name="solver_rbv" localSheetId="4" hidden="1">2</definedName>
    <definedName name="solver_rbv" localSheetId="2" hidden="1">2</definedName>
    <definedName name="solver_rel1" localSheetId="4" hidden="1">2</definedName>
    <definedName name="solver_rel1" localSheetId="2" hidden="1">2</definedName>
    <definedName name="solver_rel2" localSheetId="4" hidden="1">1</definedName>
    <definedName name="solver_rel2" localSheetId="2" hidden="1">1</definedName>
    <definedName name="solver_rhs1" localSheetId="4" hidden="1">1</definedName>
    <definedName name="solver_rhs1" localSheetId="2" hidden="1">1</definedName>
    <definedName name="solver_rhs2" localSheetId="4" hidden="1">0</definedName>
    <definedName name="solver_rhs2" localSheetId="2" hidden="1">0</definedName>
    <definedName name="solver_rlx" localSheetId="4" hidden="1">2</definedName>
    <definedName name="solver_rlx" localSheetId="2" hidden="1">2</definedName>
    <definedName name="solver_rsd" localSheetId="4" hidden="1">0</definedName>
    <definedName name="solver_rsd" localSheetId="2" hidden="1">0</definedName>
    <definedName name="solver_scl" localSheetId="4" hidden="1">2</definedName>
    <definedName name="solver_scl" localSheetId="2" hidden="1">2</definedName>
    <definedName name="solver_sho" localSheetId="4" hidden="1">2</definedName>
    <definedName name="solver_sho" localSheetId="2" hidden="1">2</definedName>
    <definedName name="solver_ssz" localSheetId="4" hidden="1">100</definedName>
    <definedName name="solver_ssz" localSheetId="2" hidden="1">100</definedName>
    <definedName name="solver_tim" localSheetId="4" hidden="1">2147483647</definedName>
    <definedName name="solver_tim" localSheetId="2" hidden="1">2147483647</definedName>
    <definedName name="solver_tol" localSheetId="4" hidden="1">0.01</definedName>
    <definedName name="solver_tol" localSheetId="2" hidden="1">0.01</definedName>
    <definedName name="solver_typ" localSheetId="4" hidden="1">1</definedName>
    <definedName name="solver_typ" localSheetId="2" hidden="1">1</definedName>
    <definedName name="solver_val" localSheetId="4" hidden="1">0</definedName>
    <definedName name="solver_val" localSheetId="2" hidden="1">0</definedName>
    <definedName name="solver_ver" localSheetId="4" hidden="1">3</definedName>
    <definedName name="solver_ver" localSheetId="2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4" l="1"/>
  <c r="E34" i="4"/>
  <c r="F34" i="4"/>
  <c r="G34" i="4"/>
  <c r="C34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1" i="4"/>
  <c r="H11" i="4"/>
  <c r="I10" i="4"/>
  <c r="H10" i="4"/>
  <c r="I9" i="4"/>
  <c r="H9" i="4"/>
  <c r="B9" i="4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I8" i="4"/>
  <c r="H8" i="4"/>
  <c r="I7" i="4"/>
  <c r="C28" i="4" s="1"/>
  <c r="H7" i="4"/>
  <c r="C27" i="4" s="1"/>
  <c r="I6" i="4"/>
  <c r="H6" i="4"/>
  <c r="I5" i="4"/>
  <c r="H5" i="4"/>
  <c r="I24" i="3"/>
  <c r="H24" i="3"/>
  <c r="I23" i="3"/>
  <c r="H23" i="3"/>
  <c r="I22" i="3"/>
  <c r="H22" i="3"/>
  <c r="I21" i="3"/>
  <c r="H21" i="3"/>
  <c r="I20" i="3"/>
  <c r="H20" i="3"/>
  <c r="I19" i="3"/>
  <c r="H19" i="3"/>
  <c r="I18" i="3"/>
  <c r="H18" i="3"/>
  <c r="I17" i="3"/>
  <c r="H17" i="3"/>
  <c r="I16" i="3"/>
  <c r="H16" i="3"/>
  <c r="I15" i="3"/>
  <c r="H15" i="3"/>
  <c r="I14" i="3"/>
  <c r="H14" i="3"/>
  <c r="I13" i="3"/>
  <c r="H13" i="3"/>
  <c r="I12" i="3"/>
  <c r="H12" i="3"/>
  <c r="I11" i="3"/>
  <c r="H11" i="3"/>
  <c r="I10" i="3"/>
  <c r="H10" i="3"/>
  <c r="I9" i="3"/>
  <c r="H9" i="3"/>
  <c r="B9" i="3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I8" i="3"/>
  <c r="H8" i="3"/>
  <c r="I7" i="3"/>
  <c r="H7" i="3"/>
  <c r="I6" i="3"/>
  <c r="H6" i="3"/>
  <c r="I5" i="3"/>
  <c r="H5" i="3"/>
  <c r="I24" i="2"/>
  <c r="H24" i="2"/>
  <c r="I23" i="2"/>
  <c r="H23" i="2"/>
  <c r="K23" i="2" s="1"/>
  <c r="I22" i="2"/>
  <c r="H22" i="2"/>
  <c r="K22" i="2" s="1"/>
  <c r="I21" i="2"/>
  <c r="J21" i="2" s="1"/>
  <c r="H21" i="2"/>
  <c r="I20" i="2"/>
  <c r="H20" i="2"/>
  <c r="I19" i="2"/>
  <c r="H19" i="2"/>
  <c r="K19" i="2" s="1"/>
  <c r="I18" i="2"/>
  <c r="H18" i="2"/>
  <c r="I17" i="2"/>
  <c r="H17" i="2"/>
  <c r="J17" i="2" s="1"/>
  <c r="I16" i="2"/>
  <c r="H16" i="2"/>
  <c r="I15" i="2"/>
  <c r="J15" i="2" s="1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K9" i="2" s="1"/>
  <c r="B9" i="2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I8" i="2"/>
  <c r="H8" i="2"/>
  <c r="I7" i="2"/>
  <c r="H7" i="2"/>
  <c r="I6" i="2"/>
  <c r="H6" i="2"/>
  <c r="I5" i="2"/>
  <c r="C28" i="2" s="1"/>
  <c r="H5" i="2"/>
  <c r="C27" i="2" s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J9" i="4" l="1"/>
  <c r="J14" i="4"/>
  <c r="J18" i="4"/>
  <c r="J22" i="4"/>
  <c r="J11" i="4"/>
  <c r="J10" i="4"/>
  <c r="J15" i="4"/>
  <c r="J19" i="4"/>
  <c r="J16" i="4"/>
  <c r="J20" i="4"/>
  <c r="J8" i="4"/>
  <c r="J24" i="4"/>
  <c r="J23" i="4"/>
  <c r="J6" i="4"/>
  <c r="J13" i="4"/>
  <c r="J17" i="4"/>
  <c r="J21" i="4"/>
  <c r="J5" i="4"/>
  <c r="J7" i="4"/>
  <c r="C28" i="3"/>
  <c r="C27" i="3"/>
  <c r="J19" i="3"/>
  <c r="J7" i="3"/>
  <c r="J6" i="3"/>
  <c r="J18" i="3"/>
  <c r="J13" i="3"/>
  <c r="J16" i="3"/>
  <c r="J10" i="3"/>
  <c r="J20" i="3"/>
  <c r="J23" i="3"/>
  <c r="J8" i="3"/>
  <c r="J11" i="3"/>
  <c r="J24" i="3"/>
  <c r="J21" i="3"/>
  <c r="J12" i="2"/>
  <c r="K16" i="2"/>
  <c r="K24" i="2"/>
  <c r="J18" i="2"/>
  <c r="J7" i="2"/>
  <c r="K18" i="2"/>
  <c r="J12" i="3"/>
  <c r="J9" i="3"/>
  <c r="J17" i="3"/>
  <c r="J15" i="3"/>
  <c r="J14" i="3"/>
  <c r="J22" i="3"/>
  <c r="J5" i="3"/>
  <c r="K11" i="2"/>
  <c r="K15" i="2"/>
  <c r="K21" i="2"/>
  <c r="J22" i="2"/>
  <c r="K13" i="2"/>
  <c r="J20" i="2"/>
  <c r="K10" i="2"/>
  <c r="K14" i="2"/>
  <c r="K7" i="2"/>
  <c r="J10" i="2"/>
  <c r="J13" i="2"/>
  <c r="K8" i="2"/>
  <c r="K20" i="2"/>
  <c r="J14" i="2"/>
  <c r="J23" i="2"/>
  <c r="K6" i="2"/>
  <c r="K12" i="2"/>
  <c r="J5" i="2"/>
  <c r="J9" i="2"/>
  <c r="K17" i="2"/>
  <c r="J11" i="2"/>
  <c r="J19" i="2"/>
  <c r="J24" i="2"/>
  <c r="K5" i="2"/>
  <c r="J6" i="2"/>
  <c r="J8" i="2"/>
  <c r="J16" i="2"/>
</calcChain>
</file>

<file path=xl/sharedStrings.xml><?xml version="1.0" encoding="utf-8"?>
<sst xmlns="http://schemas.openxmlformats.org/spreadsheetml/2006/main" count="169" uniqueCount="70">
  <si>
    <t>Rig No.</t>
  </si>
  <si>
    <t>Normalized Production</t>
  </si>
  <si>
    <t>Client Satisfaction</t>
  </si>
  <si>
    <t>Outputs</t>
  </si>
  <si>
    <t>Inputs</t>
  </si>
  <si>
    <t>Labor</t>
  </si>
  <si>
    <t>Operating Costs</t>
  </si>
  <si>
    <t>Weighted Output</t>
  </si>
  <si>
    <t>Weighted Input</t>
  </si>
  <si>
    <t>Difference</t>
  </si>
  <si>
    <t xml:space="preserve">DEA Efficiency </t>
  </si>
  <si>
    <t>DEQ Score</t>
  </si>
  <si>
    <t>Output</t>
  </si>
  <si>
    <t>Input</t>
  </si>
  <si>
    <t>Weights</t>
  </si>
  <si>
    <t>Composite Weights</t>
  </si>
  <si>
    <t>Current</t>
  </si>
  <si>
    <t xml:space="preserve">Composite </t>
  </si>
  <si>
    <t>Microsoft Excel 16.0 Sensitivity Report</t>
  </si>
  <si>
    <t>Worksheet: [DEA - Drilling Rig Problem.xlsm]Optimizing Rig 3</t>
  </si>
  <si>
    <t>Report Created: 4/16/2019 5:09:14 PM</t>
  </si>
  <si>
    <t>Variable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</si>
  <si>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</si>
  <si>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</si>
  <si>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</si>
  <si>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</si>
  <si>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</si>
  <si>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</si>
  <si>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</si>
  <si>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</si>
  <si>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</si>
  <si>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</si>
  <si>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</si>
  <si>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Constraints</t>
  </si>
  <si>
    <t>Shadow</t>
  </si>
  <si>
    <t>Price</t>
  </si>
  <si>
    <t>Constraint</t>
  </si>
  <si>
    <t>R.H. Side</t>
  </si>
  <si>
    <t>$C$31</t>
  </si>
  <si>
    <t>Weights Normalized Production</t>
  </si>
  <si>
    <t>$D$31</t>
  </si>
  <si>
    <t>Weights Client Satisfaction</t>
  </si>
  <si>
    <t>$E$31</t>
  </si>
  <si>
    <t>Weights DEQ Score</t>
  </si>
  <si>
    <t>$F$31</t>
  </si>
  <si>
    <t>Weights Labor</t>
  </si>
  <si>
    <t>$G$31</t>
  </si>
  <si>
    <t>Weights Operating Costs</t>
  </si>
  <si>
    <t>$C$28</t>
  </si>
  <si>
    <t>Input Normalized Production</t>
  </si>
  <si>
    <t>$J$5</t>
  </si>
  <si>
    <t>$J$6</t>
  </si>
  <si>
    <t>$J$7</t>
  </si>
  <si>
    <t>$J$8</t>
  </si>
  <si>
    <t>$J$9</t>
  </si>
  <si>
    <t>$J$10</t>
  </si>
  <si>
    <t>$J$11</t>
  </si>
  <si>
    <t>$J$12</t>
  </si>
  <si>
    <t>$J$13</t>
  </si>
  <si>
    <t>$J$14</t>
  </si>
  <si>
    <t>$J$15</t>
  </si>
  <si>
    <t>$J$16</t>
  </si>
  <si>
    <t>$J$17</t>
  </si>
  <si>
    <t>$J$18</t>
  </si>
  <si>
    <t>$J$19</t>
  </si>
  <si>
    <t>$J$20</t>
  </si>
  <si>
    <t>$J$21</t>
  </si>
  <si>
    <t>$J$22</t>
  </si>
  <si>
    <t>$J$23</t>
  </si>
  <si>
    <t>$J$24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</si>
</sst>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5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0" fillId="0" borderId="13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2" xfId="0" applyBorder="1"/>
    <xf numFmtId="0" fontId="0" fillId="0" borderId="4" xfId="0" applyBorder="1"/>
    <xf numFmtId="0" fontId="0" fillId="0" borderId="0" xfId="0" applyAlignment="1">
      <alignment horizontal="center" wrapTex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0" xfId="0" applyFill="1" applyBorder="1"/>
    <xf numFmtId="0" fontId="0" fillId="2" borderId="14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9" xfId="0" applyFill="1" applyBorder="1"/>
    <xf numFmtId="0" fontId="0" fillId="0" borderId="14" xfId="0" applyFill="1" applyBorder="1"/>
    <xf numFmtId="0" fontId="0" fillId="0" borderId="8" xfId="0" applyFill="1" applyBorder="1"/>
    <xf numFmtId="0" fontId="0" fillId="0" borderId="9" xfId="0" applyFill="1" applyBorder="1"/>
    <xf numFmtId="0" fontId="1" fillId="0" borderId="0" xfId="0" applyFont="1"/>
    <xf numFmtId="0" fontId="0" fillId="0" borderId="18" xfId="0" applyFill="1" applyBorder="1" applyAlignment="1"/>
    <xf numFmtId="0" fontId="0" fillId="0" borderId="19" xfId="0" applyFill="1" applyBorder="1" applyAlignment="1"/>
    <xf numFmtId="0" fontId="2" fillId="0" borderId="16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82D93-13B3-41A8-9956-0DFCC2EEB92C}">
  <sheetPr codeName="Sheet1"/>
  <dimension ref="B3:G24"/>
  <sheetViews>
    <sheetView workbookViewId="0">
      <selection activeCell="H1" sqref="H1:P1048576"/>
    </sheetView>
  </sheetViews>
  <sheetFormatPr defaultRowHeight="15" x14ac:dyDescent="0.25"/>
  <cols>
    <col min="2" max="2" width="11.5703125" customWidth="1"/>
    <col min="3" max="3" width="15" customWidth="1"/>
    <col min="4" max="4" width="12.42578125" customWidth="1"/>
    <col min="6" max="6" width="12.5703125" customWidth="1"/>
    <col min="7" max="7" width="11.140625" customWidth="1"/>
  </cols>
  <sheetData>
    <row r="3" spans="2:7" x14ac:dyDescent="0.25">
      <c r="C3" s="1" t="s">
        <v>3</v>
      </c>
      <c r="D3" s="2"/>
      <c r="E3" s="3"/>
      <c r="F3" s="1" t="s">
        <v>4</v>
      </c>
      <c r="G3" s="3"/>
    </row>
    <row r="4" spans="2:7" ht="30" x14ac:dyDescent="0.25">
      <c r="B4" t="s">
        <v>0</v>
      </c>
      <c r="C4" s="16" t="s">
        <v>1</v>
      </c>
      <c r="D4" s="17" t="s">
        <v>2</v>
      </c>
      <c r="E4" s="18" t="s">
        <v>11</v>
      </c>
      <c r="F4" s="19" t="s">
        <v>5</v>
      </c>
      <c r="G4" s="20" t="s">
        <v>6</v>
      </c>
    </row>
    <row r="5" spans="2:7" x14ac:dyDescent="0.25">
      <c r="B5" s="13">
        <v>1</v>
      </c>
      <c r="C5" s="4">
        <v>5.97</v>
      </c>
      <c r="D5" s="5">
        <v>1.2</v>
      </c>
      <c r="E5" s="6">
        <v>99</v>
      </c>
      <c r="F5" s="4">
        <v>45</v>
      </c>
      <c r="G5" s="5">
        <v>1.5</v>
      </c>
    </row>
    <row r="6" spans="2:7" x14ac:dyDescent="0.25">
      <c r="B6" s="14">
        <v>2</v>
      </c>
      <c r="C6" s="7">
        <v>6.57</v>
      </c>
      <c r="D6" s="8">
        <v>2.2999999999999998</v>
      </c>
      <c r="E6" s="9">
        <v>95</v>
      </c>
      <c r="F6" s="7">
        <v>53</v>
      </c>
      <c r="G6" s="29">
        <v>1.6</v>
      </c>
    </row>
    <row r="7" spans="2:7" x14ac:dyDescent="0.25">
      <c r="B7" s="14">
        <v>3</v>
      </c>
      <c r="C7" s="7">
        <v>9.4499999999999993</v>
      </c>
      <c r="D7" s="8">
        <v>2.5</v>
      </c>
      <c r="E7" s="9">
        <v>78</v>
      </c>
      <c r="F7" s="7">
        <v>55</v>
      </c>
      <c r="G7" s="29">
        <v>1.8</v>
      </c>
    </row>
    <row r="8" spans="2:7" x14ac:dyDescent="0.25">
      <c r="B8" s="14">
        <v>4</v>
      </c>
      <c r="C8" s="7">
        <v>6.58</v>
      </c>
      <c r="D8" s="29">
        <v>3.2</v>
      </c>
      <c r="E8" s="9">
        <v>86</v>
      </c>
      <c r="F8" s="7">
        <v>65</v>
      </c>
      <c r="G8" s="29">
        <v>1.5</v>
      </c>
    </row>
    <row r="9" spans="2:7" x14ac:dyDescent="0.25">
      <c r="B9" s="14">
        <f>B8+1</f>
        <v>5</v>
      </c>
      <c r="C9" s="7">
        <v>4.6500000000000004</v>
      </c>
      <c r="D9" s="29">
        <v>2.5</v>
      </c>
      <c r="E9" s="9">
        <v>85</v>
      </c>
      <c r="F9" s="7">
        <v>21</v>
      </c>
      <c r="G9" s="29">
        <v>1.3</v>
      </c>
    </row>
    <row r="10" spans="2:7" x14ac:dyDescent="0.25">
      <c r="B10" s="14">
        <f t="shared" ref="B10:B23" si="0">B9+1</f>
        <v>6</v>
      </c>
      <c r="C10" s="7">
        <v>8.24</v>
      </c>
      <c r="D10" s="29">
        <v>3.5</v>
      </c>
      <c r="E10" s="9">
        <v>78</v>
      </c>
      <c r="F10" s="7">
        <v>34</v>
      </c>
      <c r="G10" s="29">
        <v>1.9</v>
      </c>
    </row>
    <row r="11" spans="2:7" x14ac:dyDescent="0.25">
      <c r="B11" s="14">
        <f t="shared" si="0"/>
        <v>7</v>
      </c>
      <c r="C11" s="7">
        <v>9.23</v>
      </c>
      <c r="D11" s="29">
        <v>3.6</v>
      </c>
      <c r="E11" s="9">
        <v>98</v>
      </c>
      <c r="F11" s="7">
        <v>56</v>
      </c>
      <c r="G11" s="29">
        <v>1.5</v>
      </c>
    </row>
    <row r="12" spans="2:7" x14ac:dyDescent="0.25">
      <c r="B12" s="14">
        <f t="shared" si="0"/>
        <v>8</v>
      </c>
      <c r="C12" s="7">
        <v>10.52</v>
      </c>
      <c r="D12" s="29">
        <v>2.5</v>
      </c>
      <c r="E12" s="9">
        <v>95</v>
      </c>
      <c r="F12" s="7">
        <v>53</v>
      </c>
      <c r="G12" s="29">
        <v>1.3</v>
      </c>
    </row>
    <row r="13" spans="2:7" x14ac:dyDescent="0.25">
      <c r="B13" s="14">
        <f t="shared" si="0"/>
        <v>9</v>
      </c>
      <c r="C13" s="7">
        <v>6.32</v>
      </c>
      <c r="D13" s="29">
        <v>2.5</v>
      </c>
      <c r="E13" s="9">
        <v>86</v>
      </c>
      <c r="F13" s="7">
        <v>45</v>
      </c>
      <c r="G13" s="29">
        <v>1.9</v>
      </c>
    </row>
    <row r="14" spans="2:7" x14ac:dyDescent="0.25">
      <c r="B14" s="14">
        <f t="shared" si="0"/>
        <v>10</v>
      </c>
      <c r="C14" s="7">
        <v>7.56</v>
      </c>
      <c r="D14" s="29">
        <v>3.5</v>
      </c>
      <c r="E14" s="9">
        <v>84</v>
      </c>
      <c r="F14" s="7">
        <v>31</v>
      </c>
      <c r="G14" s="29">
        <v>1.1000000000000001</v>
      </c>
    </row>
    <row r="15" spans="2:7" x14ac:dyDescent="0.25">
      <c r="B15" s="14">
        <f t="shared" si="0"/>
        <v>11</v>
      </c>
      <c r="C15" s="7">
        <v>8.65</v>
      </c>
      <c r="D15" s="29">
        <v>3.5</v>
      </c>
      <c r="E15" s="9">
        <v>83</v>
      </c>
      <c r="F15" s="7">
        <v>21</v>
      </c>
      <c r="G15" s="29">
        <v>1.2</v>
      </c>
    </row>
    <row r="16" spans="2:7" x14ac:dyDescent="0.25">
      <c r="B16" s="14">
        <f t="shared" si="0"/>
        <v>12</v>
      </c>
      <c r="C16" s="7">
        <v>6.32</v>
      </c>
      <c r="D16" s="29">
        <v>3.4</v>
      </c>
      <c r="E16" s="9">
        <v>89</v>
      </c>
      <c r="F16" s="7">
        <v>45</v>
      </c>
      <c r="G16" s="29">
        <v>1.3</v>
      </c>
    </row>
    <row r="17" spans="2:7" x14ac:dyDescent="0.25">
      <c r="B17" s="14">
        <f t="shared" si="0"/>
        <v>13</v>
      </c>
      <c r="C17" s="7">
        <v>8.58</v>
      </c>
      <c r="D17" s="29">
        <v>3.5</v>
      </c>
      <c r="E17" s="9">
        <v>96</v>
      </c>
      <c r="F17" s="7">
        <v>32</v>
      </c>
      <c r="G17" s="29">
        <v>1.3</v>
      </c>
    </row>
    <row r="18" spans="2:7" x14ac:dyDescent="0.25">
      <c r="B18" s="14">
        <f t="shared" si="0"/>
        <v>14</v>
      </c>
      <c r="C18" s="7">
        <v>5.56</v>
      </c>
      <c r="D18" s="29">
        <v>3.4</v>
      </c>
      <c r="E18" s="9">
        <v>84</v>
      </c>
      <c r="F18" s="7">
        <v>43</v>
      </c>
      <c r="G18" s="29">
        <v>1.5</v>
      </c>
    </row>
    <row r="19" spans="2:7" x14ac:dyDescent="0.25">
      <c r="B19" s="14">
        <f t="shared" si="0"/>
        <v>15</v>
      </c>
      <c r="C19" s="7">
        <v>6.65</v>
      </c>
      <c r="D19" s="29">
        <v>3.6</v>
      </c>
      <c r="E19" s="9">
        <v>93</v>
      </c>
      <c r="F19" s="7">
        <v>55</v>
      </c>
      <c r="G19" s="29">
        <v>1.4</v>
      </c>
    </row>
    <row r="20" spans="2:7" x14ac:dyDescent="0.25">
      <c r="B20" s="14">
        <f t="shared" si="0"/>
        <v>16</v>
      </c>
      <c r="C20" s="7">
        <v>7.52</v>
      </c>
      <c r="D20" s="29">
        <v>2.5</v>
      </c>
      <c r="E20" s="9">
        <v>94</v>
      </c>
      <c r="F20" s="7">
        <v>42</v>
      </c>
      <c r="G20" s="29">
        <v>1.6</v>
      </c>
    </row>
    <row r="21" spans="2:7" x14ac:dyDescent="0.25">
      <c r="B21" s="14">
        <f t="shared" si="0"/>
        <v>17</v>
      </c>
      <c r="C21" s="7">
        <v>9.36</v>
      </c>
      <c r="D21" s="29">
        <v>3.3</v>
      </c>
      <c r="E21" s="9">
        <v>85</v>
      </c>
      <c r="F21" s="7">
        <v>35</v>
      </c>
      <c r="G21" s="29">
        <v>1.2</v>
      </c>
    </row>
    <row r="22" spans="2:7" x14ac:dyDescent="0.25">
      <c r="B22" s="14">
        <f t="shared" si="0"/>
        <v>18</v>
      </c>
      <c r="C22" s="7">
        <v>9.56</v>
      </c>
      <c r="D22" s="29">
        <v>3.6</v>
      </c>
      <c r="E22" s="9">
        <v>96</v>
      </c>
      <c r="F22" s="7">
        <v>45</v>
      </c>
      <c r="G22" s="29">
        <v>1.7</v>
      </c>
    </row>
    <row r="23" spans="2:7" x14ac:dyDescent="0.25">
      <c r="B23" s="14">
        <f t="shared" si="0"/>
        <v>19</v>
      </c>
      <c r="C23" s="7">
        <v>8.4499999999999993</v>
      </c>
      <c r="D23" s="29">
        <v>2.1</v>
      </c>
      <c r="E23" s="9">
        <v>94</v>
      </c>
      <c r="F23" s="7">
        <v>31</v>
      </c>
      <c r="G23" s="29">
        <v>1.3</v>
      </c>
    </row>
    <row r="24" spans="2:7" x14ac:dyDescent="0.25">
      <c r="B24" s="15">
        <v>20</v>
      </c>
      <c r="C24" s="10">
        <v>8.4499999999999993</v>
      </c>
      <c r="D24" s="11">
        <v>2.1</v>
      </c>
      <c r="E24" s="12">
        <v>98</v>
      </c>
      <c r="F24" s="10">
        <v>30</v>
      </c>
      <c r="G24" s="11">
        <v>1.1000000000000001</v>
      </c>
    </row>
  </sheetData>
  <mergeCells count="2">
    <mergeCell ref="C3:E3"/>
    <mergeCell ref="F3:G3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DE41-7E68-4AD3-AF8F-199EF29F6EB2}">
  <sheetPr codeName="Sheet2"/>
  <dimension ref="B3:K31"/>
  <sheetViews>
    <sheetView workbookViewId="0">
      <selection activeCell="C5" sqref="C5:G24"/>
    </sheetView>
  </sheetViews>
  <sheetFormatPr defaultRowHeight="15" x14ac:dyDescent="0.25"/>
  <cols>
    <col min="2" max="2" width="11.5703125" customWidth="1"/>
    <col min="3" max="3" width="15" customWidth="1"/>
    <col min="4" max="4" width="12.42578125" customWidth="1"/>
    <col min="6" max="6" width="12.5703125" customWidth="1"/>
    <col min="7" max="7" width="11.140625" customWidth="1"/>
    <col min="8" max="8" width="13.7109375" customWidth="1"/>
    <col min="9" max="9" width="13.28515625" customWidth="1"/>
    <col min="10" max="10" width="13.42578125" customWidth="1"/>
    <col min="11" max="11" width="18" customWidth="1"/>
  </cols>
  <sheetData>
    <row r="3" spans="2:11" x14ac:dyDescent="0.25">
      <c r="C3" s="1" t="s">
        <v>3</v>
      </c>
      <c r="D3" s="2"/>
      <c r="E3" s="3"/>
      <c r="F3" s="1" t="s">
        <v>4</v>
      </c>
      <c r="G3" s="3"/>
    </row>
    <row r="4" spans="2:11" ht="30" x14ac:dyDescent="0.25">
      <c r="B4" t="s">
        <v>0</v>
      </c>
      <c r="C4" s="16" t="s">
        <v>1</v>
      </c>
      <c r="D4" s="17" t="s">
        <v>2</v>
      </c>
      <c r="E4" s="18" t="s">
        <v>11</v>
      </c>
      <c r="F4" s="19" t="s">
        <v>5</v>
      </c>
      <c r="G4" s="20" t="s">
        <v>6</v>
      </c>
      <c r="H4" s="21" t="s">
        <v>7</v>
      </c>
      <c r="I4" s="21" t="s">
        <v>8</v>
      </c>
      <c r="J4" s="21" t="s">
        <v>9</v>
      </c>
      <c r="K4" s="21" t="s">
        <v>10</v>
      </c>
    </row>
    <row r="5" spans="2:11" x14ac:dyDescent="0.25">
      <c r="B5" s="13">
        <v>1</v>
      </c>
      <c r="C5" s="4">
        <v>5.97</v>
      </c>
      <c r="D5" s="5">
        <v>1.2</v>
      </c>
      <c r="E5" s="6">
        <v>99</v>
      </c>
      <c r="F5" s="4">
        <v>45</v>
      </c>
      <c r="G5" s="5">
        <v>1.5</v>
      </c>
      <c r="H5" s="4">
        <f>SUMPRODUCT(C5:E5, $C$31:$E$31)</f>
        <v>0</v>
      </c>
      <c r="I5" s="4">
        <f>SUMPRODUCT(F5:G5, $F$31:$G$31)</f>
        <v>0</v>
      </c>
      <c r="J5" s="4">
        <f>H5-I5</f>
        <v>0</v>
      </c>
      <c r="K5" s="13" t="e">
        <f>H5/I5</f>
        <v>#DIV/0!</v>
      </c>
    </row>
    <row r="6" spans="2:11" x14ac:dyDescent="0.25">
      <c r="B6" s="14">
        <v>2</v>
      </c>
      <c r="C6" s="7">
        <v>6.57</v>
      </c>
      <c r="D6" s="8">
        <v>2.2999999999999998</v>
      </c>
      <c r="E6" s="9">
        <v>95</v>
      </c>
      <c r="F6" s="7">
        <v>53</v>
      </c>
      <c r="G6" s="29">
        <v>1.6</v>
      </c>
      <c r="H6" s="7">
        <f t="shared" ref="H6:H24" si="0">SUMPRODUCT(C6:E6, $C$31:$E$31)</f>
        <v>0</v>
      </c>
      <c r="I6" s="7">
        <f t="shared" ref="I6:I24" si="1">SUMPRODUCT(F6:G6, $F$31:$G$31)</f>
        <v>0</v>
      </c>
      <c r="J6" s="7">
        <f t="shared" ref="J6:J24" si="2">H6-I6</f>
        <v>0</v>
      </c>
      <c r="K6" s="14" t="e">
        <f t="shared" ref="K6:K24" si="3">H6/I6</f>
        <v>#DIV/0!</v>
      </c>
    </row>
    <row r="7" spans="2:11" x14ac:dyDescent="0.25">
      <c r="B7" s="14">
        <v>3</v>
      </c>
      <c r="C7" s="7">
        <v>9.4499999999999993</v>
      </c>
      <c r="D7" s="8">
        <v>2.5</v>
      </c>
      <c r="E7" s="9">
        <v>78</v>
      </c>
      <c r="F7" s="7">
        <v>55</v>
      </c>
      <c r="G7" s="29">
        <v>1.8</v>
      </c>
      <c r="H7" s="7">
        <f t="shared" si="0"/>
        <v>0</v>
      </c>
      <c r="I7" s="7">
        <f t="shared" si="1"/>
        <v>0</v>
      </c>
      <c r="J7" s="7">
        <f t="shared" si="2"/>
        <v>0</v>
      </c>
      <c r="K7" s="14" t="e">
        <f t="shared" si="3"/>
        <v>#DIV/0!</v>
      </c>
    </row>
    <row r="8" spans="2:11" x14ac:dyDescent="0.25">
      <c r="B8" s="14">
        <v>4</v>
      </c>
      <c r="C8" s="7">
        <v>6.58</v>
      </c>
      <c r="D8" s="29">
        <v>3.2</v>
      </c>
      <c r="E8" s="9">
        <v>86</v>
      </c>
      <c r="F8" s="7">
        <v>65</v>
      </c>
      <c r="G8" s="29">
        <v>1.5</v>
      </c>
      <c r="H8" s="7">
        <f t="shared" si="0"/>
        <v>0</v>
      </c>
      <c r="I8" s="7">
        <f t="shared" si="1"/>
        <v>0</v>
      </c>
      <c r="J8" s="7">
        <f t="shared" si="2"/>
        <v>0</v>
      </c>
      <c r="K8" s="14" t="e">
        <f t="shared" si="3"/>
        <v>#DIV/0!</v>
      </c>
    </row>
    <row r="9" spans="2:11" x14ac:dyDescent="0.25">
      <c r="B9" s="14">
        <f>B8+1</f>
        <v>5</v>
      </c>
      <c r="C9" s="7">
        <v>4.6500000000000004</v>
      </c>
      <c r="D9" s="29">
        <v>2.5</v>
      </c>
      <c r="E9" s="9">
        <v>85</v>
      </c>
      <c r="F9" s="7">
        <v>21</v>
      </c>
      <c r="G9" s="29">
        <v>1.3</v>
      </c>
      <c r="H9" s="7">
        <f t="shared" si="0"/>
        <v>0</v>
      </c>
      <c r="I9" s="7">
        <f t="shared" si="1"/>
        <v>0</v>
      </c>
      <c r="J9" s="7">
        <f t="shared" si="2"/>
        <v>0</v>
      </c>
      <c r="K9" s="14" t="e">
        <f t="shared" si="3"/>
        <v>#DIV/0!</v>
      </c>
    </row>
    <row r="10" spans="2:11" x14ac:dyDescent="0.25">
      <c r="B10" s="14">
        <f t="shared" ref="B10:B23" si="4">B9+1</f>
        <v>6</v>
      </c>
      <c r="C10" s="7">
        <v>8.24</v>
      </c>
      <c r="D10" s="29">
        <v>3.5</v>
      </c>
      <c r="E10" s="9">
        <v>78</v>
      </c>
      <c r="F10" s="7">
        <v>34</v>
      </c>
      <c r="G10" s="29">
        <v>1.9</v>
      </c>
      <c r="H10" s="7">
        <f t="shared" si="0"/>
        <v>0</v>
      </c>
      <c r="I10" s="7">
        <f t="shared" si="1"/>
        <v>0</v>
      </c>
      <c r="J10" s="7">
        <f t="shared" si="2"/>
        <v>0</v>
      </c>
      <c r="K10" s="14" t="e">
        <f t="shared" si="3"/>
        <v>#DIV/0!</v>
      </c>
    </row>
    <row r="11" spans="2:11" x14ac:dyDescent="0.25">
      <c r="B11" s="14">
        <f t="shared" si="4"/>
        <v>7</v>
      </c>
      <c r="C11" s="7">
        <v>9.23</v>
      </c>
      <c r="D11" s="29">
        <v>3.6</v>
      </c>
      <c r="E11" s="9">
        <v>98</v>
      </c>
      <c r="F11" s="7">
        <v>56</v>
      </c>
      <c r="G11" s="29">
        <v>1.5</v>
      </c>
      <c r="H11" s="7">
        <f t="shared" si="0"/>
        <v>0</v>
      </c>
      <c r="I11" s="7">
        <f t="shared" si="1"/>
        <v>0</v>
      </c>
      <c r="J11" s="7">
        <f t="shared" si="2"/>
        <v>0</v>
      </c>
      <c r="K11" s="14" t="e">
        <f t="shared" si="3"/>
        <v>#DIV/0!</v>
      </c>
    </row>
    <row r="12" spans="2:11" x14ac:dyDescent="0.25">
      <c r="B12" s="14">
        <f t="shared" si="4"/>
        <v>8</v>
      </c>
      <c r="C12" s="7">
        <v>10.52</v>
      </c>
      <c r="D12" s="29">
        <v>2.5</v>
      </c>
      <c r="E12" s="9">
        <v>95</v>
      </c>
      <c r="F12" s="7">
        <v>53</v>
      </c>
      <c r="G12" s="29">
        <v>1.3</v>
      </c>
      <c r="H12" s="7">
        <f t="shared" si="0"/>
        <v>0</v>
      </c>
      <c r="I12" s="7">
        <f t="shared" si="1"/>
        <v>0</v>
      </c>
      <c r="J12" s="7">
        <f t="shared" si="2"/>
        <v>0</v>
      </c>
      <c r="K12" s="14" t="e">
        <f t="shared" si="3"/>
        <v>#DIV/0!</v>
      </c>
    </row>
    <row r="13" spans="2:11" x14ac:dyDescent="0.25">
      <c r="B13" s="14">
        <f t="shared" si="4"/>
        <v>9</v>
      </c>
      <c r="C13" s="7">
        <v>6.32</v>
      </c>
      <c r="D13" s="29">
        <v>2.5</v>
      </c>
      <c r="E13" s="9">
        <v>86</v>
      </c>
      <c r="F13" s="7">
        <v>45</v>
      </c>
      <c r="G13" s="29">
        <v>1.9</v>
      </c>
      <c r="H13" s="7">
        <f t="shared" si="0"/>
        <v>0</v>
      </c>
      <c r="I13" s="7">
        <f t="shared" si="1"/>
        <v>0</v>
      </c>
      <c r="J13" s="7">
        <f t="shared" si="2"/>
        <v>0</v>
      </c>
      <c r="K13" s="14" t="e">
        <f t="shared" si="3"/>
        <v>#DIV/0!</v>
      </c>
    </row>
    <row r="14" spans="2:11" x14ac:dyDescent="0.25">
      <c r="B14" s="14">
        <f t="shared" si="4"/>
        <v>10</v>
      </c>
      <c r="C14" s="7">
        <v>7.56</v>
      </c>
      <c r="D14" s="29">
        <v>3.5</v>
      </c>
      <c r="E14" s="9">
        <v>84</v>
      </c>
      <c r="F14" s="7">
        <v>31</v>
      </c>
      <c r="G14" s="29">
        <v>1.1000000000000001</v>
      </c>
      <c r="H14" s="7">
        <f t="shared" si="0"/>
        <v>0</v>
      </c>
      <c r="I14" s="7">
        <f t="shared" si="1"/>
        <v>0</v>
      </c>
      <c r="J14" s="7">
        <f t="shared" si="2"/>
        <v>0</v>
      </c>
      <c r="K14" s="14" t="e">
        <f t="shared" si="3"/>
        <v>#DIV/0!</v>
      </c>
    </row>
    <row r="15" spans="2:11" x14ac:dyDescent="0.25">
      <c r="B15" s="14">
        <f t="shared" si="4"/>
        <v>11</v>
      </c>
      <c r="C15" s="7">
        <v>8.65</v>
      </c>
      <c r="D15" s="29">
        <v>3.5</v>
      </c>
      <c r="E15" s="9">
        <v>83</v>
      </c>
      <c r="F15" s="7">
        <v>21</v>
      </c>
      <c r="G15" s="29">
        <v>1.2</v>
      </c>
      <c r="H15" s="7">
        <f t="shared" si="0"/>
        <v>0</v>
      </c>
      <c r="I15" s="7">
        <f t="shared" si="1"/>
        <v>0</v>
      </c>
      <c r="J15" s="7">
        <f t="shared" si="2"/>
        <v>0</v>
      </c>
      <c r="K15" s="14" t="e">
        <f t="shared" si="3"/>
        <v>#DIV/0!</v>
      </c>
    </row>
    <row r="16" spans="2:11" x14ac:dyDescent="0.25">
      <c r="B16" s="14">
        <f t="shared" si="4"/>
        <v>12</v>
      </c>
      <c r="C16" s="7">
        <v>6.32</v>
      </c>
      <c r="D16" s="29">
        <v>3.4</v>
      </c>
      <c r="E16" s="9">
        <v>89</v>
      </c>
      <c r="F16" s="7">
        <v>45</v>
      </c>
      <c r="G16" s="29">
        <v>1.3</v>
      </c>
      <c r="H16" s="7">
        <f t="shared" si="0"/>
        <v>0</v>
      </c>
      <c r="I16" s="7">
        <f t="shared" si="1"/>
        <v>0</v>
      </c>
      <c r="J16" s="7">
        <f t="shared" si="2"/>
        <v>0</v>
      </c>
      <c r="K16" s="14" t="e">
        <f t="shared" si="3"/>
        <v>#DIV/0!</v>
      </c>
    </row>
    <row r="17" spans="2:11" x14ac:dyDescent="0.25">
      <c r="B17" s="14">
        <f t="shared" si="4"/>
        <v>13</v>
      </c>
      <c r="C17" s="7">
        <v>8.58</v>
      </c>
      <c r="D17" s="29">
        <v>3.5</v>
      </c>
      <c r="E17" s="9">
        <v>96</v>
      </c>
      <c r="F17" s="7">
        <v>32</v>
      </c>
      <c r="G17" s="29">
        <v>1.3</v>
      </c>
      <c r="H17" s="7">
        <f t="shared" si="0"/>
        <v>0</v>
      </c>
      <c r="I17" s="7">
        <f t="shared" si="1"/>
        <v>0</v>
      </c>
      <c r="J17" s="7">
        <f t="shared" si="2"/>
        <v>0</v>
      </c>
      <c r="K17" s="14" t="e">
        <f t="shared" si="3"/>
        <v>#DIV/0!</v>
      </c>
    </row>
    <row r="18" spans="2:11" x14ac:dyDescent="0.25">
      <c r="B18" s="14">
        <f t="shared" si="4"/>
        <v>14</v>
      </c>
      <c r="C18" s="7">
        <v>5.56</v>
      </c>
      <c r="D18" s="29">
        <v>3.4</v>
      </c>
      <c r="E18" s="9">
        <v>84</v>
      </c>
      <c r="F18" s="7">
        <v>43</v>
      </c>
      <c r="G18" s="29">
        <v>1.5</v>
      </c>
      <c r="H18" s="7">
        <f t="shared" si="0"/>
        <v>0</v>
      </c>
      <c r="I18" s="7">
        <f t="shared" si="1"/>
        <v>0</v>
      </c>
      <c r="J18" s="7">
        <f t="shared" si="2"/>
        <v>0</v>
      </c>
      <c r="K18" s="14" t="e">
        <f t="shared" si="3"/>
        <v>#DIV/0!</v>
      </c>
    </row>
    <row r="19" spans="2:11" x14ac:dyDescent="0.25">
      <c r="B19" s="14">
        <f t="shared" si="4"/>
        <v>15</v>
      </c>
      <c r="C19" s="7">
        <v>6.65</v>
      </c>
      <c r="D19" s="29">
        <v>3.6</v>
      </c>
      <c r="E19" s="9">
        <v>93</v>
      </c>
      <c r="F19" s="7">
        <v>55</v>
      </c>
      <c r="G19" s="29">
        <v>1.4</v>
      </c>
      <c r="H19" s="7">
        <f t="shared" si="0"/>
        <v>0</v>
      </c>
      <c r="I19" s="7">
        <f t="shared" si="1"/>
        <v>0</v>
      </c>
      <c r="J19" s="7">
        <f t="shared" si="2"/>
        <v>0</v>
      </c>
      <c r="K19" s="14" t="e">
        <f t="shared" si="3"/>
        <v>#DIV/0!</v>
      </c>
    </row>
    <row r="20" spans="2:11" x14ac:dyDescent="0.25">
      <c r="B20" s="14">
        <f t="shared" si="4"/>
        <v>16</v>
      </c>
      <c r="C20" s="7">
        <v>7.52</v>
      </c>
      <c r="D20" s="29">
        <v>2.5</v>
      </c>
      <c r="E20" s="9">
        <v>94</v>
      </c>
      <c r="F20" s="7">
        <v>42</v>
      </c>
      <c r="G20" s="29">
        <v>1.6</v>
      </c>
      <c r="H20" s="7">
        <f t="shared" si="0"/>
        <v>0</v>
      </c>
      <c r="I20" s="7">
        <f t="shared" si="1"/>
        <v>0</v>
      </c>
      <c r="J20" s="7">
        <f t="shared" si="2"/>
        <v>0</v>
      </c>
      <c r="K20" s="14" t="e">
        <f t="shared" si="3"/>
        <v>#DIV/0!</v>
      </c>
    </row>
    <row r="21" spans="2:11" x14ac:dyDescent="0.25">
      <c r="B21" s="14">
        <f t="shared" si="4"/>
        <v>17</v>
      </c>
      <c r="C21" s="7">
        <v>9.36</v>
      </c>
      <c r="D21" s="29">
        <v>3.3</v>
      </c>
      <c r="E21" s="9">
        <v>85</v>
      </c>
      <c r="F21" s="7">
        <v>35</v>
      </c>
      <c r="G21" s="29">
        <v>1.2</v>
      </c>
      <c r="H21" s="7">
        <f t="shared" si="0"/>
        <v>0</v>
      </c>
      <c r="I21" s="7">
        <f t="shared" si="1"/>
        <v>0</v>
      </c>
      <c r="J21" s="7">
        <f t="shared" si="2"/>
        <v>0</v>
      </c>
      <c r="K21" s="14" t="e">
        <f t="shared" si="3"/>
        <v>#DIV/0!</v>
      </c>
    </row>
    <row r="22" spans="2:11" x14ac:dyDescent="0.25">
      <c r="B22" s="14">
        <f t="shared" si="4"/>
        <v>18</v>
      </c>
      <c r="C22" s="7">
        <v>9.56</v>
      </c>
      <c r="D22" s="29">
        <v>3.6</v>
      </c>
      <c r="E22" s="9">
        <v>96</v>
      </c>
      <c r="F22" s="7">
        <v>45</v>
      </c>
      <c r="G22" s="29">
        <v>1.7</v>
      </c>
      <c r="H22" s="7">
        <f t="shared" si="0"/>
        <v>0</v>
      </c>
      <c r="I22" s="7">
        <f t="shared" si="1"/>
        <v>0</v>
      </c>
      <c r="J22" s="7">
        <f t="shared" si="2"/>
        <v>0</v>
      </c>
      <c r="K22" s="14" t="e">
        <f t="shared" si="3"/>
        <v>#DIV/0!</v>
      </c>
    </row>
    <row r="23" spans="2:11" x14ac:dyDescent="0.25">
      <c r="B23" s="14">
        <f t="shared" si="4"/>
        <v>19</v>
      </c>
      <c r="C23" s="7">
        <v>8.4499999999999993</v>
      </c>
      <c r="D23" s="29">
        <v>2.1</v>
      </c>
      <c r="E23" s="9">
        <v>94</v>
      </c>
      <c r="F23" s="7">
        <v>31</v>
      </c>
      <c r="G23" s="29">
        <v>1.3</v>
      </c>
      <c r="H23" s="7">
        <f t="shared" si="0"/>
        <v>0</v>
      </c>
      <c r="I23" s="7">
        <f t="shared" si="1"/>
        <v>0</v>
      </c>
      <c r="J23" s="7">
        <f t="shared" si="2"/>
        <v>0</v>
      </c>
      <c r="K23" s="14" t="e">
        <f t="shared" si="3"/>
        <v>#DIV/0!</v>
      </c>
    </row>
    <row r="24" spans="2:11" x14ac:dyDescent="0.25">
      <c r="B24" s="15">
        <v>20</v>
      </c>
      <c r="C24" s="10">
        <v>8.4499999999999993</v>
      </c>
      <c r="D24" s="11">
        <v>2.1</v>
      </c>
      <c r="E24" s="12">
        <v>98</v>
      </c>
      <c r="F24" s="10">
        <v>30</v>
      </c>
      <c r="G24" s="11">
        <v>1.1000000000000001</v>
      </c>
      <c r="H24" s="10">
        <f t="shared" si="0"/>
        <v>0</v>
      </c>
      <c r="I24" s="10">
        <f t="shared" si="1"/>
        <v>0</v>
      </c>
      <c r="J24" s="10">
        <f t="shared" si="2"/>
        <v>0</v>
      </c>
      <c r="K24" s="15" t="e">
        <f t="shared" si="3"/>
        <v>#DIV/0!</v>
      </c>
    </row>
    <row r="26" spans="2:11" x14ac:dyDescent="0.25">
      <c r="B26" s="23" t="s">
        <v>0</v>
      </c>
      <c r="C26" s="24">
        <v>1</v>
      </c>
    </row>
    <row r="27" spans="2:11" x14ac:dyDescent="0.25">
      <c r="B27" s="23" t="s">
        <v>12</v>
      </c>
      <c r="C27" s="24">
        <f>INDEX(H5:H24, C26, 1)</f>
        <v>0</v>
      </c>
    </row>
    <row r="28" spans="2:11" x14ac:dyDescent="0.25">
      <c r="B28" s="23" t="s">
        <v>13</v>
      </c>
      <c r="C28" s="24">
        <f>INDEX(I5:I24, C26, 1)</f>
        <v>0</v>
      </c>
    </row>
    <row r="29" spans="2:11" x14ac:dyDescent="0.25">
      <c r="B29" s="8"/>
      <c r="C29" s="8"/>
    </row>
    <row r="30" spans="2:11" ht="30" x14ac:dyDescent="0.25">
      <c r="C30" s="25" t="s">
        <v>1</v>
      </c>
      <c r="D30" s="25" t="s">
        <v>2</v>
      </c>
      <c r="E30" s="25" t="s">
        <v>11</v>
      </c>
      <c r="F30" s="25" t="s">
        <v>5</v>
      </c>
      <c r="G30" s="25" t="s">
        <v>6</v>
      </c>
    </row>
    <row r="31" spans="2:11" x14ac:dyDescent="0.25">
      <c r="B31" t="s">
        <v>14</v>
      </c>
      <c r="C31" s="26"/>
      <c r="D31" s="27"/>
      <c r="E31" s="27"/>
      <c r="F31" s="27"/>
      <c r="G31" s="28"/>
    </row>
  </sheetData>
  <mergeCells count="2">
    <mergeCell ref="C3:E3"/>
    <mergeCell ref="F3:G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A3A48-85E8-47AE-8900-2F5C546F9251}">
  <sheetPr codeName="Sheet3"/>
  <dimension ref="B3:P31"/>
  <sheetViews>
    <sheetView workbookViewId="0">
      <selection activeCell="K7" sqref="B7:K7"/>
    </sheetView>
  </sheetViews>
  <sheetFormatPr defaultRowHeight="15" x14ac:dyDescent="0.25"/>
  <cols>
    <col min="2" max="2" width="11.5703125" customWidth="1"/>
    <col min="3" max="3" width="15" customWidth="1"/>
    <col min="4" max="4" width="12.42578125" customWidth="1"/>
    <col min="6" max="6" width="12.5703125" customWidth="1"/>
    <col min="7" max="7" width="11.140625" customWidth="1"/>
    <col min="8" max="8" width="13.7109375" customWidth="1"/>
    <col min="9" max="9" width="13.28515625" customWidth="1"/>
    <col min="10" max="10" width="13.42578125" customWidth="1"/>
    <col min="11" max="11" width="18" customWidth="1"/>
    <col min="12" max="12" width="15.140625" customWidth="1"/>
    <col min="13" max="13" width="12.140625" customWidth="1"/>
    <col min="14" max="14" width="10" customWidth="1"/>
    <col min="16" max="16" width="11.42578125" customWidth="1"/>
  </cols>
  <sheetData>
    <row r="3" spans="2:16" x14ac:dyDescent="0.25">
      <c r="C3" s="1" t="s">
        <v>3</v>
      </c>
      <c r="D3" s="2"/>
      <c r="E3" s="3"/>
      <c r="F3" s="1" t="s">
        <v>4</v>
      </c>
      <c r="G3" s="3"/>
      <c r="L3" s="1" t="s">
        <v>3</v>
      </c>
      <c r="M3" s="2"/>
      <c r="N3" s="3"/>
      <c r="O3" s="1" t="s">
        <v>4</v>
      </c>
      <c r="P3" s="3"/>
    </row>
    <row r="4" spans="2:16" ht="30" x14ac:dyDescent="0.25">
      <c r="B4" t="s">
        <v>0</v>
      </c>
      <c r="C4" s="16" t="s">
        <v>1</v>
      </c>
      <c r="D4" s="17" t="s">
        <v>2</v>
      </c>
      <c r="E4" s="18" t="s">
        <v>11</v>
      </c>
      <c r="F4" s="19" t="s">
        <v>5</v>
      </c>
      <c r="G4" s="20" t="s">
        <v>6</v>
      </c>
      <c r="H4" s="21" t="s">
        <v>7</v>
      </c>
      <c r="I4" s="21" t="s">
        <v>8</v>
      </c>
      <c r="J4" s="21" t="s">
        <v>9</v>
      </c>
      <c r="K4" s="21" t="s">
        <v>10</v>
      </c>
      <c r="L4" s="16" t="s">
        <v>1</v>
      </c>
      <c r="M4" s="17" t="s">
        <v>2</v>
      </c>
      <c r="N4" s="18" t="s">
        <v>11</v>
      </c>
      <c r="O4" s="19" t="s">
        <v>5</v>
      </c>
      <c r="P4" s="20" t="s">
        <v>6</v>
      </c>
    </row>
    <row r="5" spans="2:16" x14ac:dyDescent="0.25">
      <c r="B5" s="13">
        <v>1</v>
      </c>
      <c r="C5" s="4">
        <v>5.97</v>
      </c>
      <c r="D5" s="5">
        <v>1.2</v>
      </c>
      <c r="E5" s="6">
        <v>9.9</v>
      </c>
      <c r="F5" s="4">
        <v>45</v>
      </c>
      <c r="G5" s="5">
        <v>1.5</v>
      </c>
      <c r="H5" s="4">
        <f>SUMPRODUCT(C5:E5, $C$31:$E$31)</f>
        <v>1.0102040816326527</v>
      </c>
      <c r="I5" s="4">
        <f>SUMPRODUCT(F5:G5, $F$31:$G$31)</f>
        <v>1.4487422876127187</v>
      </c>
      <c r="J5" s="4">
        <f>H5-I5</f>
        <v>-0.43853820598006599</v>
      </c>
      <c r="K5" s="13">
        <v>0.74081632653061291</v>
      </c>
      <c r="L5" s="5">
        <v>0</v>
      </c>
      <c r="M5" s="5">
        <v>0</v>
      </c>
      <c r="N5" s="6">
        <v>7.4829931972789185E-2</v>
      </c>
      <c r="O5" s="4">
        <v>0</v>
      </c>
      <c r="P5" s="6">
        <v>0.66666666666666663</v>
      </c>
    </row>
    <row r="6" spans="2:16" x14ac:dyDescent="0.25">
      <c r="B6" s="14">
        <v>2</v>
      </c>
      <c r="C6" s="7">
        <v>6.57</v>
      </c>
      <c r="D6" s="8">
        <v>2.2999999999999998</v>
      </c>
      <c r="E6" s="9">
        <v>9.5</v>
      </c>
      <c r="F6" s="7">
        <v>53</v>
      </c>
      <c r="G6" s="29">
        <v>1.6</v>
      </c>
      <c r="H6" s="7">
        <f t="shared" ref="H6:H24" si="0">SUMPRODUCT(C6:E6, $C$31:$E$31)</f>
        <v>0.96938775510204056</v>
      </c>
      <c r="I6" s="7">
        <f t="shared" ref="I6:I24" si="1">SUMPRODUCT(F6:G6, $F$31:$G$31)</f>
        <v>1.6493434583135564</v>
      </c>
      <c r="J6" s="7">
        <f t="shared" ref="J6:J24" si="2">H6-I6</f>
        <v>-0.67995570321151588</v>
      </c>
      <c r="K6" s="14">
        <v>0.68172268907563027</v>
      </c>
      <c r="L6" s="8">
        <v>0</v>
      </c>
      <c r="M6" s="8">
        <v>5.7773109243697586E-2</v>
      </c>
      <c r="N6" s="9">
        <v>5.7773109243697454E-2</v>
      </c>
      <c r="O6" s="7">
        <v>0</v>
      </c>
      <c r="P6" s="9">
        <v>0.62499999999999956</v>
      </c>
    </row>
    <row r="7" spans="2:16" x14ac:dyDescent="0.25">
      <c r="B7" s="14">
        <v>3</v>
      </c>
      <c r="C7" s="7">
        <v>9.4499999999999993</v>
      </c>
      <c r="D7" s="8">
        <v>2.5</v>
      </c>
      <c r="E7" s="9">
        <v>7.8</v>
      </c>
      <c r="F7" s="7">
        <v>55</v>
      </c>
      <c r="G7" s="29">
        <v>1.8</v>
      </c>
      <c r="H7" s="7">
        <f t="shared" si="0"/>
        <v>0.79591836734693855</v>
      </c>
      <c r="I7" s="7">
        <f t="shared" si="1"/>
        <v>1.7592944154405936</v>
      </c>
      <c r="J7" s="7">
        <f t="shared" si="2"/>
        <v>-0.96337604809365507</v>
      </c>
      <c r="K7" s="14">
        <v>0.67062269166529676</v>
      </c>
      <c r="L7" s="8">
        <v>7.0965364197385902E-2</v>
      </c>
      <c r="M7" s="8">
        <v>0</v>
      </c>
      <c r="N7" s="9">
        <v>0</v>
      </c>
      <c r="O7" s="7">
        <v>1.4585146674823842E-3</v>
      </c>
      <c r="P7" s="9">
        <v>0.51098982960470574</v>
      </c>
    </row>
    <row r="8" spans="2:16" x14ac:dyDescent="0.25">
      <c r="B8" s="14">
        <v>4</v>
      </c>
      <c r="C8" s="7">
        <v>6.58</v>
      </c>
      <c r="D8" s="29">
        <v>3.2</v>
      </c>
      <c r="E8" s="9">
        <v>8.6</v>
      </c>
      <c r="F8" s="7">
        <v>65</v>
      </c>
      <c r="G8" s="29">
        <v>1.5</v>
      </c>
      <c r="H8" s="7">
        <f t="shared" si="0"/>
        <v>0.87755102040816302</v>
      </c>
      <c r="I8" s="7">
        <f t="shared" si="1"/>
        <v>1.8648156937193459</v>
      </c>
      <c r="J8" s="7">
        <f t="shared" si="2"/>
        <v>-0.98726467331118284</v>
      </c>
      <c r="K8" s="14">
        <v>0.72717086834733979</v>
      </c>
      <c r="L8" s="8">
        <v>0</v>
      </c>
      <c r="M8" s="8">
        <v>6.1624649859944022E-2</v>
      </c>
      <c r="N8" s="9">
        <v>6.1624649859944064E-2</v>
      </c>
      <c r="O8" s="7">
        <v>0</v>
      </c>
      <c r="P8" s="9">
        <v>0.66666666666666674</v>
      </c>
    </row>
    <row r="9" spans="2:16" x14ac:dyDescent="0.25">
      <c r="B9" s="14">
        <f>B8+1</f>
        <v>5</v>
      </c>
      <c r="C9" s="7">
        <v>4.6500000000000004</v>
      </c>
      <c r="D9" s="29">
        <v>2.5</v>
      </c>
      <c r="E9" s="9">
        <v>8.5</v>
      </c>
      <c r="F9" s="7">
        <v>21</v>
      </c>
      <c r="G9" s="29">
        <v>1.3</v>
      </c>
      <c r="H9" s="7">
        <f t="shared" si="0"/>
        <v>0.86734693877550995</v>
      </c>
      <c r="I9" s="7">
        <f t="shared" si="1"/>
        <v>0.88111058376839146</v>
      </c>
      <c r="J9" s="7">
        <f t="shared" si="2"/>
        <v>-1.3763644992881519E-2</v>
      </c>
      <c r="K9" s="14">
        <v>1</v>
      </c>
      <c r="L9" s="8">
        <v>0</v>
      </c>
      <c r="M9" s="8">
        <v>0</v>
      </c>
      <c r="N9" s="9">
        <v>0.11764705882352941</v>
      </c>
      <c r="O9" s="7">
        <v>4.7619047619047616E-2</v>
      </c>
      <c r="P9" s="9">
        <v>0</v>
      </c>
    </row>
    <row r="10" spans="2:16" x14ac:dyDescent="0.25">
      <c r="B10" s="14">
        <f t="shared" ref="B10:B23" si="3">B9+1</f>
        <v>6</v>
      </c>
      <c r="C10" s="7">
        <v>8.24</v>
      </c>
      <c r="D10" s="29">
        <v>3.5</v>
      </c>
      <c r="E10" s="9">
        <v>7.8</v>
      </c>
      <c r="F10" s="7">
        <v>34</v>
      </c>
      <c r="G10" s="29">
        <v>1.9</v>
      </c>
      <c r="H10" s="7">
        <f t="shared" si="0"/>
        <v>0.79591836734693855</v>
      </c>
      <c r="I10" s="7">
        <f t="shared" si="1"/>
        <v>1.3565891472868219</v>
      </c>
      <c r="J10" s="7">
        <f t="shared" si="2"/>
        <v>-0.56067077993988335</v>
      </c>
      <c r="K10" s="14">
        <v>0.62946428571428592</v>
      </c>
      <c r="L10" s="8">
        <v>0</v>
      </c>
      <c r="M10" s="8">
        <v>0.17984693877551025</v>
      </c>
      <c r="N10" s="9">
        <v>0</v>
      </c>
      <c r="O10" s="7">
        <v>4.464285714285629E-3</v>
      </c>
      <c r="P10" s="9">
        <v>0.44642857142857334</v>
      </c>
    </row>
    <row r="11" spans="2:16" x14ac:dyDescent="0.25">
      <c r="B11" s="14">
        <f t="shared" si="3"/>
        <v>7</v>
      </c>
      <c r="C11" s="7">
        <v>9.23</v>
      </c>
      <c r="D11" s="29">
        <v>3.6</v>
      </c>
      <c r="E11" s="9">
        <v>9.8000000000000007</v>
      </c>
      <c r="F11" s="7">
        <v>56</v>
      </c>
      <c r="G11" s="29">
        <v>1.5</v>
      </c>
      <c r="H11" s="7">
        <f t="shared" si="0"/>
        <v>0.99999999999999978</v>
      </c>
      <c r="I11" s="7">
        <f t="shared" si="1"/>
        <v>1.6775826609713635</v>
      </c>
      <c r="J11" s="7">
        <f t="shared" si="2"/>
        <v>-0.67758266097136377</v>
      </c>
      <c r="K11" s="14">
        <v>0.84652532914724476</v>
      </c>
      <c r="L11" s="8">
        <v>4.1496093781172368E-2</v>
      </c>
      <c r="M11" s="8">
        <v>5.3883361776397742E-2</v>
      </c>
      <c r="N11" s="9">
        <v>2.7503702158366519E-2</v>
      </c>
      <c r="O11" s="7">
        <v>0</v>
      </c>
      <c r="P11" s="9">
        <v>0.6666666666666673</v>
      </c>
    </row>
    <row r="12" spans="2:16" x14ac:dyDescent="0.25">
      <c r="B12" s="14">
        <f t="shared" si="3"/>
        <v>8</v>
      </c>
      <c r="C12" s="7">
        <v>10.45</v>
      </c>
      <c r="D12" s="29">
        <v>2.5</v>
      </c>
      <c r="E12" s="9">
        <v>9.5</v>
      </c>
      <c r="F12" s="7">
        <v>53</v>
      </c>
      <c r="G12" s="29">
        <v>1.3</v>
      </c>
      <c r="H12" s="7">
        <f t="shared" si="0"/>
        <v>0.96938775510204056</v>
      </c>
      <c r="I12" s="7">
        <f t="shared" si="1"/>
        <v>1.5468280335389952</v>
      </c>
      <c r="J12" s="7">
        <f t="shared" si="2"/>
        <v>-0.57744027843695467</v>
      </c>
      <c r="K12" s="14">
        <v>0.99999999999999989</v>
      </c>
      <c r="L12" s="8">
        <v>9.569377990430622E-2</v>
      </c>
      <c r="M12" s="8">
        <v>0</v>
      </c>
      <c r="N12" s="9">
        <v>0</v>
      </c>
      <c r="O12" s="7">
        <v>1.9667450897462315E-3</v>
      </c>
      <c r="P12" s="9">
        <v>0.68904808480265511</v>
      </c>
    </row>
    <row r="13" spans="2:16" x14ac:dyDescent="0.25">
      <c r="B13" s="14">
        <f t="shared" si="3"/>
        <v>9</v>
      </c>
      <c r="C13" s="7">
        <v>6.32</v>
      </c>
      <c r="D13" s="29">
        <v>2.5</v>
      </c>
      <c r="E13" s="9">
        <v>8.6</v>
      </c>
      <c r="F13" s="7">
        <v>45</v>
      </c>
      <c r="G13" s="29">
        <v>1.9</v>
      </c>
      <c r="H13" s="7">
        <f t="shared" si="0"/>
        <v>0.87755102040816302</v>
      </c>
      <c r="I13" s="7">
        <f t="shared" si="1"/>
        <v>1.5854295206454672</v>
      </c>
      <c r="J13" s="7">
        <f t="shared" si="2"/>
        <v>-0.70787850023730414</v>
      </c>
      <c r="K13" s="14">
        <v>0.5589713937762727</v>
      </c>
      <c r="L13" s="8">
        <v>0</v>
      </c>
      <c r="M13" s="8">
        <v>5.2934690003300429E-2</v>
      </c>
      <c r="N13" s="9">
        <v>4.9608682414886238E-2</v>
      </c>
      <c r="O13" s="7">
        <v>4.6564106237798678E-3</v>
      </c>
      <c r="P13" s="9">
        <v>0.41603237996310877</v>
      </c>
    </row>
    <row r="14" spans="2:16" x14ac:dyDescent="0.25">
      <c r="B14" s="14">
        <f t="shared" si="3"/>
        <v>10</v>
      </c>
      <c r="C14" s="7">
        <v>7.56</v>
      </c>
      <c r="D14" s="29">
        <v>3.5</v>
      </c>
      <c r="E14" s="9">
        <v>8.4</v>
      </c>
      <c r="F14" s="7">
        <v>31</v>
      </c>
      <c r="G14" s="29">
        <v>1.1000000000000001</v>
      </c>
      <c r="H14" s="7">
        <f t="shared" si="0"/>
        <v>0.85714285714285698</v>
      </c>
      <c r="I14" s="7">
        <f t="shared" si="1"/>
        <v>1.0208036703053309</v>
      </c>
      <c r="J14" s="7">
        <f t="shared" si="2"/>
        <v>-0.16366081316247394</v>
      </c>
      <c r="K14" s="14">
        <v>1</v>
      </c>
      <c r="L14" s="8">
        <v>5.8372489277116892E-2</v>
      </c>
      <c r="M14" s="8">
        <v>7.4356890624037927E-2</v>
      </c>
      <c r="N14" s="9">
        <v>3.5530340938198048E-2</v>
      </c>
      <c r="O14" s="7">
        <v>2.4056541035415773E-3</v>
      </c>
      <c r="P14" s="9">
        <v>0.84129520253655432</v>
      </c>
    </row>
    <row r="15" spans="2:16" x14ac:dyDescent="0.25">
      <c r="B15" s="14">
        <f t="shared" si="3"/>
        <v>11</v>
      </c>
      <c r="C15" s="7">
        <v>8.65</v>
      </c>
      <c r="D15" s="29">
        <v>3.5</v>
      </c>
      <c r="E15" s="9">
        <v>8.3000000000000007</v>
      </c>
      <c r="F15" s="7">
        <v>21</v>
      </c>
      <c r="G15" s="29">
        <v>1.2</v>
      </c>
      <c r="H15" s="7">
        <f t="shared" si="0"/>
        <v>0.84693877551020391</v>
      </c>
      <c r="I15" s="7">
        <f t="shared" si="1"/>
        <v>0.84693877551020436</v>
      </c>
      <c r="J15" s="7">
        <f t="shared" si="2"/>
        <v>0</v>
      </c>
      <c r="K15" s="14">
        <v>1</v>
      </c>
      <c r="L15" s="8">
        <v>0.11560693641618497</v>
      </c>
      <c r="M15" s="8">
        <v>0</v>
      </c>
      <c r="N15" s="9">
        <v>0</v>
      </c>
      <c r="O15" s="7">
        <v>4.7619047619047616E-2</v>
      </c>
      <c r="P15" s="9">
        <v>0</v>
      </c>
    </row>
    <row r="16" spans="2:16" x14ac:dyDescent="0.25">
      <c r="B16" s="14">
        <f t="shared" si="3"/>
        <v>12</v>
      </c>
      <c r="C16" s="7">
        <v>6.32</v>
      </c>
      <c r="D16" s="29">
        <v>3.4</v>
      </c>
      <c r="E16" s="9">
        <v>8.9</v>
      </c>
      <c r="F16" s="7">
        <v>45</v>
      </c>
      <c r="G16" s="29">
        <v>1.3</v>
      </c>
      <c r="H16" s="7">
        <f t="shared" si="0"/>
        <v>0.90816326530612224</v>
      </c>
      <c r="I16" s="7">
        <f t="shared" si="1"/>
        <v>1.3803986710963443</v>
      </c>
      <c r="J16" s="7">
        <f t="shared" si="2"/>
        <v>-0.47223540579022205</v>
      </c>
      <c r="K16" s="14">
        <v>0.87459599224305407</v>
      </c>
      <c r="L16" s="8">
        <v>0</v>
      </c>
      <c r="M16" s="8">
        <v>7.1105365223012654E-2</v>
      </c>
      <c r="N16" s="9">
        <v>7.1105365223012473E-2</v>
      </c>
      <c r="O16" s="7">
        <v>0</v>
      </c>
      <c r="P16" s="9">
        <v>0.76923076923077116</v>
      </c>
    </row>
    <row r="17" spans="2:16" x14ac:dyDescent="0.25">
      <c r="B17" s="14">
        <f t="shared" si="3"/>
        <v>13</v>
      </c>
      <c r="C17" s="7">
        <v>8.58</v>
      </c>
      <c r="D17" s="29">
        <v>3.5</v>
      </c>
      <c r="E17" s="9">
        <v>9.6</v>
      </c>
      <c r="F17" s="7">
        <v>32</v>
      </c>
      <c r="G17" s="29">
        <v>1.3</v>
      </c>
      <c r="H17" s="7">
        <f t="shared" si="0"/>
        <v>0.97959183673469363</v>
      </c>
      <c r="I17" s="7">
        <f t="shared" si="1"/>
        <v>1.1099509571270365</v>
      </c>
      <c r="J17" s="7">
        <f t="shared" si="2"/>
        <v>-0.13035912039234288</v>
      </c>
      <c r="K17" s="14">
        <v>0.95892935953685399</v>
      </c>
      <c r="L17" s="8">
        <v>0</v>
      </c>
      <c r="M17" s="8">
        <v>7.6733930935753578E-2</v>
      </c>
      <c r="N17" s="9">
        <v>7.1912562631428797E-2</v>
      </c>
      <c r="O17" s="7">
        <v>6.7499156260545749E-3</v>
      </c>
      <c r="P17" s="9">
        <v>0.60307899997404246</v>
      </c>
    </row>
    <row r="18" spans="2:16" x14ac:dyDescent="0.25">
      <c r="B18" s="14">
        <f t="shared" si="3"/>
        <v>14</v>
      </c>
      <c r="C18" s="7">
        <v>5.56</v>
      </c>
      <c r="D18" s="29">
        <v>3.4</v>
      </c>
      <c r="E18" s="9">
        <v>8.4</v>
      </c>
      <c r="F18" s="7">
        <v>43</v>
      </c>
      <c r="G18" s="29">
        <v>1.5</v>
      </c>
      <c r="H18" s="7">
        <f t="shared" si="0"/>
        <v>0.85714285714285698</v>
      </c>
      <c r="I18" s="7">
        <f t="shared" si="1"/>
        <v>1.407134947002056</v>
      </c>
      <c r="J18" s="7">
        <f t="shared" si="2"/>
        <v>-0.54999208985919901</v>
      </c>
      <c r="K18" s="14">
        <v>0.7271708683473399</v>
      </c>
      <c r="L18" s="8">
        <v>0</v>
      </c>
      <c r="M18" s="8">
        <v>6.1624649859944092E-2</v>
      </c>
      <c r="N18" s="9">
        <v>6.162464985994405E-2</v>
      </c>
      <c r="O18" s="7">
        <v>0</v>
      </c>
      <c r="P18" s="9">
        <v>0.66666666666666652</v>
      </c>
    </row>
    <row r="19" spans="2:16" x14ac:dyDescent="0.25">
      <c r="B19" s="14">
        <f t="shared" si="3"/>
        <v>15</v>
      </c>
      <c r="C19" s="7">
        <v>6.65</v>
      </c>
      <c r="D19" s="29">
        <v>3.6</v>
      </c>
      <c r="E19" s="9">
        <v>9.3000000000000007</v>
      </c>
      <c r="F19" s="7">
        <v>55</v>
      </c>
      <c r="G19" s="29">
        <v>1.4</v>
      </c>
      <c r="H19" s="7">
        <f t="shared" si="0"/>
        <v>0.94897959183673453</v>
      </c>
      <c r="I19" s="7">
        <f t="shared" si="1"/>
        <v>1.622607182407845</v>
      </c>
      <c r="J19" s="7">
        <f t="shared" si="2"/>
        <v>-0.67362759057111044</v>
      </c>
      <c r="K19" s="14">
        <v>0.85174069627851334</v>
      </c>
      <c r="L19" s="8">
        <v>0</v>
      </c>
      <c r="M19" s="8">
        <v>6.602641056422591E-2</v>
      </c>
      <c r="N19" s="9">
        <v>6.6026410564225813E-2</v>
      </c>
      <c r="O19" s="7">
        <v>0</v>
      </c>
      <c r="P19" s="9">
        <v>0.71428571428571508</v>
      </c>
    </row>
    <row r="20" spans="2:16" x14ac:dyDescent="0.25">
      <c r="B20" s="14">
        <f t="shared" si="3"/>
        <v>16</v>
      </c>
      <c r="C20" s="7">
        <v>7.52</v>
      </c>
      <c r="D20" s="29">
        <v>2.5</v>
      </c>
      <c r="E20" s="9">
        <v>9.4</v>
      </c>
      <c r="F20" s="7">
        <v>42</v>
      </c>
      <c r="G20" s="29">
        <v>1.6</v>
      </c>
      <c r="H20" s="7">
        <f t="shared" si="0"/>
        <v>0.9591836734693876</v>
      </c>
      <c r="I20" s="7">
        <f t="shared" si="1"/>
        <v>1.4205030849549116</v>
      </c>
      <c r="J20" s="7">
        <f t="shared" si="2"/>
        <v>-0.46131941148552402</v>
      </c>
      <c r="K20" s="14">
        <v>0.69512738550752196</v>
      </c>
      <c r="L20" s="8">
        <v>0</v>
      </c>
      <c r="M20" s="8">
        <v>6.1464695676973165E-2</v>
      </c>
      <c r="N20" s="9">
        <v>5.7602728331392454E-2</v>
      </c>
      <c r="O20" s="7">
        <v>5.4067542838129173E-3</v>
      </c>
      <c r="P20" s="9">
        <v>0.48307270004991054</v>
      </c>
    </row>
    <row r="21" spans="2:16" x14ac:dyDescent="0.25">
      <c r="B21" s="14">
        <f t="shared" si="3"/>
        <v>17</v>
      </c>
      <c r="C21" s="7">
        <v>9.36</v>
      </c>
      <c r="D21" s="29">
        <v>3.3</v>
      </c>
      <c r="E21" s="9">
        <v>8.5</v>
      </c>
      <c r="F21" s="7">
        <v>35</v>
      </c>
      <c r="G21" s="29">
        <v>1.2</v>
      </c>
      <c r="H21" s="7">
        <f t="shared" si="0"/>
        <v>0.86734693877550995</v>
      </c>
      <c r="I21" s="7">
        <f t="shared" si="1"/>
        <v>1.1381901597848434</v>
      </c>
      <c r="J21" s="7">
        <f t="shared" si="2"/>
        <v>-0.27084322100933345</v>
      </c>
      <c r="K21" s="14">
        <v>1</v>
      </c>
      <c r="L21" s="8">
        <v>0.10683760683760685</v>
      </c>
      <c r="M21" s="8">
        <v>0</v>
      </c>
      <c r="N21" s="9">
        <v>0</v>
      </c>
      <c r="O21" s="7">
        <v>5.4181929181927428E-3</v>
      </c>
      <c r="P21" s="9">
        <v>0.67530270655271007</v>
      </c>
    </row>
    <row r="22" spans="2:16" x14ac:dyDescent="0.25">
      <c r="B22" s="14">
        <f t="shared" si="3"/>
        <v>18</v>
      </c>
      <c r="C22" s="7">
        <v>9.56</v>
      </c>
      <c r="D22" s="29">
        <v>3.6</v>
      </c>
      <c r="E22" s="9">
        <v>9.6</v>
      </c>
      <c r="F22" s="7">
        <v>45</v>
      </c>
      <c r="G22" s="29">
        <v>1.7</v>
      </c>
      <c r="H22" s="7">
        <f t="shared" si="0"/>
        <v>0.97959183673469363</v>
      </c>
      <c r="I22" s="7">
        <f t="shared" si="1"/>
        <v>1.5170859041290927</v>
      </c>
      <c r="J22" s="7">
        <f t="shared" si="2"/>
        <v>-0.53749406739439909</v>
      </c>
      <c r="K22" s="14">
        <v>0.75843369271599492</v>
      </c>
      <c r="L22" s="8">
        <v>3.7942247742093753E-2</v>
      </c>
      <c r="M22" s="8">
        <v>4.8332144137204013E-2</v>
      </c>
      <c r="N22" s="9">
        <v>2.3094800563296259E-2</v>
      </c>
      <c r="O22" s="7">
        <v>1.5636805130073705E-3</v>
      </c>
      <c r="P22" s="9">
        <v>0.54684375112627459</v>
      </c>
    </row>
    <row r="23" spans="2:16" x14ac:dyDescent="0.25">
      <c r="B23" s="14">
        <f t="shared" si="3"/>
        <v>19</v>
      </c>
      <c r="C23" s="7">
        <v>8.4499999999999993</v>
      </c>
      <c r="D23" s="29">
        <v>2.1</v>
      </c>
      <c r="E23" s="9">
        <v>9.4</v>
      </c>
      <c r="F23" s="7">
        <v>31</v>
      </c>
      <c r="G23" s="29">
        <v>1.3</v>
      </c>
      <c r="H23" s="7">
        <f t="shared" si="0"/>
        <v>0.9591836734693876</v>
      </c>
      <c r="I23" s="7">
        <f t="shared" si="1"/>
        <v>1.0891472868217051</v>
      </c>
      <c r="J23" s="7">
        <f t="shared" si="2"/>
        <v>-0.12996361335231754</v>
      </c>
      <c r="K23" s="14">
        <v>0.88067397777616474</v>
      </c>
      <c r="L23" s="8">
        <v>0</v>
      </c>
      <c r="M23" s="8">
        <v>0</v>
      </c>
      <c r="N23" s="9">
        <v>9.368872104001752E-2</v>
      </c>
      <c r="O23" s="7">
        <v>1.910087878567792E-2</v>
      </c>
      <c r="P23" s="9">
        <v>0.31374827511075798</v>
      </c>
    </row>
    <row r="24" spans="2:16" x14ac:dyDescent="0.25">
      <c r="B24" s="15">
        <v>20</v>
      </c>
      <c r="C24" s="10">
        <v>8.4499999999999993</v>
      </c>
      <c r="D24" s="11">
        <v>2.1</v>
      </c>
      <c r="E24" s="12">
        <v>9.8000000000000007</v>
      </c>
      <c r="F24" s="10">
        <v>30</v>
      </c>
      <c r="G24" s="11">
        <v>1.1000000000000001</v>
      </c>
      <c r="H24" s="10">
        <f t="shared" si="0"/>
        <v>0.99999999999999978</v>
      </c>
      <c r="I24" s="10">
        <f t="shared" si="1"/>
        <v>0.99999999999999956</v>
      </c>
      <c r="J24" s="10">
        <f t="shared" si="2"/>
        <v>0</v>
      </c>
      <c r="K24" s="15">
        <v>0.99999999999999978</v>
      </c>
      <c r="L24" s="11">
        <v>0</v>
      </c>
      <c r="M24" s="11">
        <v>0</v>
      </c>
      <c r="N24" s="12">
        <v>0.10204081632653059</v>
      </c>
      <c r="O24" s="10">
        <v>2.0803670305331364E-2</v>
      </c>
      <c r="P24" s="12">
        <v>0.34171808258187142</v>
      </c>
    </row>
    <row r="26" spans="2:16" x14ac:dyDescent="0.25">
      <c r="B26" s="23" t="s">
        <v>0</v>
      </c>
      <c r="C26" s="24">
        <v>20</v>
      </c>
    </row>
    <row r="27" spans="2:16" x14ac:dyDescent="0.25">
      <c r="B27" s="23" t="s">
        <v>12</v>
      </c>
      <c r="C27" s="24">
        <f>INDEX(H5:H24, C26, 1)</f>
        <v>0.99999999999999978</v>
      </c>
    </row>
    <row r="28" spans="2:16" x14ac:dyDescent="0.25">
      <c r="B28" s="23" t="s">
        <v>13</v>
      </c>
      <c r="C28" s="24">
        <f>INDEX(I5:I24, C26, 1)</f>
        <v>0.99999999999999956</v>
      </c>
    </row>
    <row r="29" spans="2:16" x14ac:dyDescent="0.25">
      <c r="B29" s="8"/>
      <c r="C29" s="8"/>
    </row>
    <row r="30" spans="2:16" ht="30" x14ac:dyDescent="0.25">
      <c r="C30" s="25" t="s">
        <v>1</v>
      </c>
      <c r="D30" s="25" t="s">
        <v>2</v>
      </c>
      <c r="E30" s="25" t="s">
        <v>11</v>
      </c>
      <c r="F30" s="25" t="s">
        <v>5</v>
      </c>
      <c r="G30" s="25" t="s">
        <v>6</v>
      </c>
    </row>
    <row r="31" spans="2:16" x14ac:dyDescent="0.25">
      <c r="B31" t="s">
        <v>14</v>
      </c>
      <c r="C31" s="26">
        <v>0</v>
      </c>
      <c r="D31" s="27">
        <v>0</v>
      </c>
      <c r="E31" s="27">
        <v>0.10204081632653059</v>
      </c>
      <c r="F31" s="27">
        <v>2.0803670305331364E-2</v>
      </c>
      <c r="G31" s="28">
        <v>0.34171808258187142</v>
      </c>
    </row>
  </sheetData>
  <mergeCells count="4">
    <mergeCell ref="C3:E3"/>
    <mergeCell ref="F3:G3"/>
    <mergeCell ref="L3:N3"/>
    <mergeCell ref="O3:P3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67791-5800-43AC-83EB-20388F5265E7}">
  <sheetPr codeName="Sheet5"/>
  <dimension ref="A1:H38"/>
  <sheetViews>
    <sheetView showGridLines="0" topLeftCell="A6" workbookViewId="0">
      <selection activeCell="E19" sqref="E19:E38"/>
    </sheetView>
  </sheetViews>
  <sheetFormatPr defaultRowHeight="15" x14ac:dyDescent="0.25"/>
  <cols>
    <col min="1" max="1" width="2.28515625" customWidth="1"/>
    <col min="2" max="2" width="6.28515625" bestFit="1" customWidth="1"/>
    <col min="3" max="3" width="29.85546875" bestFit="1" customWidth="1"/>
    <col min="4" max="5" width="12.7109375" bestFit="1" customWidth="1"/>
    <col min="6" max="6" width="10.85546875" bestFit="1" customWidth="1"/>
    <col min="7" max="8" width="12" bestFit="1" customWidth="1"/>
  </cols>
  <sheetData>
    <row r="1" spans="1:8" x14ac:dyDescent="0.25">
      <c r="A1" s="37" t="s">
        <v>18</v>
      </c>
    </row>
    <row r="2" spans="1:8" x14ac:dyDescent="0.25">
      <c r="A2" s="37" t="s">
        <v>19</v>
      </c>
    </row>
    <row r="3" spans="1:8" x14ac:dyDescent="0.25">
      <c r="A3" s="37" t="s">
        <v>20</v>
      </c>
    </row>
    <row r="6" spans="1:8" ht="15.75" thickBot="1" x14ac:dyDescent="0.3">
      <c r="A6" t="s">
        <v>21</v>
      </c>
    </row>
    <row r="7" spans="1:8" x14ac:dyDescent="0.25">
      <c r="B7" s="40"/>
      <c r="C7" s="40"/>
      <c r="D7" s="40" t="s">
        <v>24</v>
      </c>
      <c r="E7" s="40" t="s">
        <v>26</v>
      </c>
      <c r="F7" s="40" t="s">
        <v>28</v>
      </c>
      <c r="G7" s="40" t="s">
        <v>30</v>
      </c>
      <c r="H7" s="40" t="s">
        <v>30</v>
      </c>
    </row>
    <row r="8" spans="1:8" ht="15.75" thickBot="1" x14ac:dyDescent="0.3">
      <c r="B8" s="41" t="s">
        <v>22</v>
      </c>
      <c r="C8" s="41" t="s">
        <v>23</v>
      </c>
      <c r="D8" s="41" t="s">
        <v>25</v>
      </c>
      <c r="E8" s="41" t="s">
        <v>27</v>
      </c>
      <c r="F8" s="41" t="s">
        <v>29</v>
      </c>
      <c r="G8" s="41" t="s">
        <v>31</v>
      </c>
      <c r="H8" s="41" t="s">
        <v>32</v>
      </c>
    </row>
    <row r="9" spans="1:8" x14ac:dyDescent="0.25">
      <c r="B9" s="38" t="s">
        <v>38</v>
      </c>
      <c r="C9" s="38" t="s">
        <v>39</v>
      </c>
      <c r="D9" s="38">
        <v>7.1225071225071476E-2</v>
      </c>
      <c r="E9" s="38">
        <v>0</v>
      </c>
      <c r="F9" s="38">
        <v>9.4499999999999993</v>
      </c>
      <c r="G9" s="38">
        <v>1E+30</v>
      </c>
      <c r="H9" s="38">
        <v>0.8608235294117601</v>
      </c>
    </row>
    <row r="10" spans="1:8" x14ac:dyDescent="0.25">
      <c r="B10" s="38" t="s">
        <v>40</v>
      </c>
      <c r="C10" s="38" t="s">
        <v>41</v>
      </c>
      <c r="D10" s="38">
        <v>0</v>
      </c>
      <c r="E10" s="38">
        <v>-0.83173076923076827</v>
      </c>
      <c r="F10" s="38">
        <v>2.5</v>
      </c>
      <c r="G10" s="38">
        <v>0.83173076923076827</v>
      </c>
      <c r="H10" s="38">
        <v>1E+30</v>
      </c>
    </row>
    <row r="11" spans="1:8" x14ac:dyDescent="0.25">
      <c r="B11" s="38" t="s">
        <v>42</v>
      </c>
      <c r="C11" s="38" t="s">
        <v>43</v>
      </c>
      <c r="D11" s="38">
        <v>0</v>
      </c>
      <c r="E11" s="38">
        <v>-7.8173076923076472</v>
      </c>
      <c r="F11" s="38">
        <v>78</v>
      </c>
      <c r="G11" s="38">
        <v>7.8173076923076472</v>
      </c>
      <c r="H11" s="38">
        <v>1E+30</v>
      </c>
    </row>
    <row r="12" spans="1:8" x14ac:dyDescent="0.25">
      <c r="B12" s="38" t="s">
        <v>44</v>
      </c>
      <c r="C12" s="38" t="s">
        <v>45</v>
      </c>
      <c r="D12" s="38">
        <v>0</v>
      </c>
      <c r="E12" s="38">
        <v>-1.6826923076924438</v>
      </c>
      <c r="F12" s="38">
        <v>0</v>
      </c>
      <c r="G12" s="38">
        <v>1.6826923076924438</v>
      </c>
      <c r="H12" s="38">
        <v>1E+30</v>
      </c>
    </row>
    <row r="13" spans="1:8" ht="15.75" thickBot="1" x14ac:dyDescent="0.3">
      <c r="B13" s="39" t="s">
        <v>46</v>
      </c>
      <c r="C13" s="39" t="s">
        <v>47</v>
      </c>
      <c r="D13" s="39">
        <v>0.55555555555555669</v>
      </c>
      <c r="E13" s="39">
        <v>0</v>
      </c>
      <c r="F13" s="39">
        <v>0</v>
      </c>
      <c r="G13" s="39">
        <v>1E+30</v>
      </c>
      <c r="H13" s="39">
        <v>5.5069930069934422E-2</v>
      </c>
    </row>
    <row r="15" spans="1:8" ht="15.75" thickBot="1" x14ac:dyDescent="0.3">
      <c r="A15" t="s">
        <v>33</v>
      </c>
    </row>
    <row r="16" spans="1:8" x14ac:dyDescent="0.25">
      <c r="B16" s="40"/>
      <c r="C16" s="40"/>
      <c r="D16" s="40" t="s">
        <v>24</v>
      </c>
      <c r="E16" s="40" t="s">
        <v>34</v>
      </c>
      <c r="F16" s="40" t="s">
        <v>36</v>
      </c>
      <c r="G16" s="40" t="s">
        <v>30</v>
      </c>
      <c r="H16" s="40" t="s">
        <v>30</v>
      </c>
    </row>
    <row r="17" spans="2:8" ht="15.75" thickBot="1" x14ac:dyDescent="0.3">
      <c r="B17" s="41" t="s">
        <v>22</v>
      </c>
      <c r="C17" s="41" t="s">
        <v>23</v>
      </c>
      <c r="D17" s="41" t="s">
        <v>25</v>
      </c>
      <c r="E17" s="41" t="s">
        <v>35</v>
      </c>
      <c r="F17" s="41" t="s">
        <v>37</v>
      </c>
      <c r="G17" s="41" t="s">
        <v>31</v>
      </c>
      <c r="H17" s="41" t="s">
        <v>32</v>
      </c>
    </row>
    <row r="18" spans="2:8" x14ac:dyDescent="0.25">
      <c r="B18" s="38" t="s">
        <v>48</v>
      </c>
      <c r="C18" s="38" t="s">
        <v>49</v>
      </c>
      <c r="D18" s="38">
        <v>1.000000000000002</v>
      </c>
      <c r="E18" s="38">
        <v>0.67307692307692557</v>
      </c>
      <c r="F18" s="38">
        <v>1</v>
      </c>
      <c r="G18" s="38">
        <v>1E+30</v>
      </c>
      <c r="H18" s="38">
        <v>1</v>
      </c>
    </row>
    <row r="19" spans="2:8" x14ac:dyDescent="0.25">
      <c r="B19" s="38" t="s">
        <v>50</v>
      </c>
      <c r="C19" s="38" t="s">
        <v>9</v>
      </c>
      <c r="D19" s="38">
        <v>-0.40811965811965834</v>
      </c>
      <c r="E19" s="38">
        <v>0</v>
      </c>
      <c r="F19" s="38">
        <v>0</v>
      </c>
      <c r="G19" s="38">
        <v>1E+30</v>
      </c>
      <c r="H19" s="38">
        <v>0.40811965811965778</v>
      </c>
    </row>
    <row r="20" spans="2:8" x14ac:dyDescent="0.25">
      <c r="B20" s="38" t="s">
        <v>51</v>
      </c>
      <c r="C20" s="38" t="s">
        <v>9</v>
      </c>
      <c r="D20" s="38">
        <v>-0.42094017094017111</v>
      </c>
      <c r="E20" s="38">
        <v>0</v>
      </c>
      <c r="F20" s="38">
        <v>0</v>
      </c>
      <c r="G20" s="38">
        <v>1E+30</v>
      </c>
      <c r="H20" s="38">
        <v>0.42094017094017122</v>
      </c>
    </row>
    <row r="21" spans="2:8" x14ac:dyDescent="0.25">
      <c r="B21" s="38" t="s">
        <v>52</v>
      </c>
      <c r="C21" s="38" t="s">
        <v>9</v>
      </c>
      <c r="D21" s="38">
        <v>-0.32692307692307665</v>
      </c>
      <c r="E21" s="38">
        <v>0</v>
      </c>
      <c r="F21" s="38">
        <v>0</v>
      </c>
      <c r="G21" s="38">
        <v>1E+30</v>
      </c>
      <c r="H21" s="38">
        <v>0.32692307692307465</v>
      </c>
    </row>
    <row r="22" spans="2:8" x14ac:dyDescent="0.25">
      <c r="B22" s="38" t="s">
        <v>53</v>
      </c>
      <c r="C22" s="38" t="s">
        <v>9</v>
      </c>
      <c r="D22" s="38">
        <v>-0.36467236467236469</v>
      </c>
      <c r="E22" s="38">
        <v>0</v>
      </c>
      <c r="F22" s="38">
        <v>0</v>
      </c>
      <c r="G22" s="38">
        <v>1E+30</v>
      </c>
      <c r="H22" s="38">
        <v>0.36467236467236408</v>
      </c>
    </row>
    <row r="23" spans="2:8" x14ac:dyDescent="0.25">
      <c r="B23" s="38" t="s">
        <v>54</v>
      </c>
      <c r="C23" s="38" t="s">
        <v>9</v>
      </c>
      <c r="D23" s="38">
        <v>-0.39102564102564136</v>
      </c>
      <c r="E23" s="38">
        <v>0</v>
      </c>
      <c r="F23" s="38">
        <v>0</v>
      </c>
      <c r="G23" s="38">
        <v>1E+30</v>
      </c>
      <c r="H23" s="38">
        <v>0.3910256410256393</v>
      </c>
    </row>
    <row r="24" spans="2:8" x14ac:dyDescent="0.25">
      <c r="B24" s="38" t="s">
        <v>55</v>
      </c>
      <c r="C24" s="38" t="s">
        <v>9</v>
      </c>
      <c r="D24" s="38">
        <v>-0.46866096866096862</v>
      </c>
      <c r="E24" s="38">
        <v>0</v>
      </c>
      <c r="F24" s="38">
        <v>0</v>
      </c>
      <c r="G24" s="38">
        <v>1E+30</v>
      </c>
      <c r="H24" s="38">
        <v>0.46866096866096729</v>
      </c>
    </row>
    <row r="25" spans="2:8" x14ac:dyDescent="0.25">
      <c r="B25" s="38" t="s">
        <v>56</v>
      </c>
      <c r="C25" s="38" t="s">
        <v>9</v>
      </c>
      <c r="D25" s="38">
        <v>-0.17592592592592526</v>
      </c>
      <c r="E25" s="38">
        <v>0</v>
      </c>
      <c r="F25" s="38">
        <v>0</v>
      </c>
      <c r="G25" s="38">
        <v>1E+30</v>
      </c>
      <c r="H25" s="38">
        <v>0.17592592592592443</v>
      </c>
    </row>
    <row r="26" spans="2:8" x14ac:dyDescent="0.25">
      <c r="B26" s="38" t="s">
        <v>57</v>
      </c>
      <c r="C26" s="38" t="s">
        <v>9</v>
      </c>
      <c r="D26" s="38">
        <v>-0.53017648340474899</v>
      </c>
      <c r="E26" s="38">
        <v>0</v>
      </c>
      <c r="F26" s="38">
        <v>0</v>
      </c>
      <c r="G26" s="38">
        <v>1E+30</v>
      </c>
      <c r="H26" s="38">
        <v>0.53017648340474899</v>
      </c>
    </row>
    <row r="27" spans="2:8" x14ac:dyDescent="0.25">
      <c r="B27" s="38" t="s">
        <v>58</v>
      </c>
      <c r="C27" s="38" t="s">
        <v>9</v>
      </c>
      <c r="D27" s="38">
        <v>-0.60541310541310578</v>
      </c>
      <c r="E27" s="38">
        <v>0</v>
      </c>
      <c r="F27" s="38">
        <v>0</v>
      </c>
      <c r="G27" s="38">
        <v>1E+30</v>
      </c>
      <c r="H27" s="38">
        <v>0.60541310541310456</v>
      </c>
    </row>
    <row r="28" spans="2:8" x14ac:dyDescent="0.25">
      <c r="B28" s="38" t="s">
        <v>59</v>
      </c>
      <c r="C28" s="38" t="s">
        <v>9</v>
      </c>
      <c r="D28" s="38">
        <v>-7.2649572649572058E-2</v>
      </c>
      <c r="E28" s="38">
        <v>0</v>
      </c>
      <c r="F28" s="38">
        <v>0</v>
      </c>
      <c r="G28" s="38">
        <v>1E+30</v>
      </c>
      <c r="H28" s="38">
        <v>7.2649572649572572E-2</v>
      </c>
    </row>
    <row r="29" spans="2:8" x14ac:dyDescent="0.25">
      <c r="B29" s="38" t="s">
        <v>60</v>
      </c>
      <c r="C29" s="38" t="s">
        <v>9</v>
      </c>
      <c r="D29" s="38">
        <v>-5.056980056979965E-2</v>
      </c>
      <c r="E29" s="38">
        <v>0</v>
      </c>
      <c r="F29" s="38">
        <v>0</v>
      </c>
      <c r="G29" s="38">
        <v>1E+30</v>
      </c>
      <c r="H29" s="38">
        <v>5.0569800569800843E-2</v>
      </c>
    </row>
    <row r="30" spans="2:8" x14ac:dyDescent="0.25">
      <c r="B30" s="38" t="s">
        <v>61</v>
      </c>
      <c r="C30" s="38" t="s">
        <v>9</v>
      </c>
      <c r="D30" s="38">
        <v>-0.27207977207977202</v>
      </c>
      <c r="E30" s="38">
        <v>0</v>
      </c>
      <c r="F30" s="38">
        <v>0</v>
      </c>
      <c r="G30" s="38">
        <v>1E+30</v>
      </c>
      <c r="H30" s="38">
        <v>0.27207977207976974</v>
      </c>
    </row>
    <row r="31" spans="2:8" x14ac:dyDescent="0.25">
      <c r="B31" s="38" t="s">
        <v>62</v>
      </c>
      <c r="C31" s="38" t="s">
        <v>9</v>
      </c>
      <c r="D31" s="38">
        <v>-0.11111111111111049</v>
      </c>
      <c r="E31" s="38">
        <v>0</v>
      </c>
      <c r="F31" s="38">
        <v>0</v>
      </c>
      <c r="G31" s="38">
        <v>1E+30</v>
      </c>
      <c r="H31" s="38">
        <v>0.11111111111110827</v>
      </c>
    </row>
    <row r="32" spans="2:8" x14ac:dyDescent="0.25">
      <c r="B32" s="38" t="s">
        <v>63</v>
      </c>
      <c r="C32" s="38" t="s">
        <v>9</v>
      </c>
      <c r="D32" s="38">
        <v>-0.43732193732193764</v>
      </c>
      <c r="E32" s="38">
        <v>0</v>
      </c>
      <c r="F32" s="38">
        <v>0</v>
      </c>
      <c r="G32" s="38">
        <v>1E+30</v>
      </c>
      <c r="H32" s="38">
        <v>0.43732193732193719</v>
      </c>
    </row>
    <row r="33" spans="2:8" x14ac:dyDescent="0.25">
      <c r="B33" s="38" t="s">
        <v>64</v>
      </c>
      <c r="C33" s="38" t="s">
        <v>9</v>
      </c>
      <c r="D33" s="38">
        <v>-0.30413105413105401</v>
      </c>
      <c r="E33" s="38">
        <v>0</v>
      </c>
      <c r="F33" s="38">
        <v>0</v>
      </c>
      <c r="G33" s="38">
        <v>1E+30</v>
      </c>
      <c r="H33" s="38">
        <v>0.30413105413105274</v>
      </c>
    </row>
    <row r="34" spans="2:8" x14ac:dyDescent="0.25">
      <c r="B34" s="38" t="s">
        <v>65</v>
      </c>
      <c r="C34" s="38" t="s">
        <v>9</v>
      </c>
      <c r="D34" s="38">
        <v>-0.35327635327635321</v>
      </c>
      <c r="E34" s="38">
        <v>0</v>
      </c>
      <c r="F34" s="38">
        <v>0</v>
      </c>
      <c r="G34" s="38">
        <v>1E+30</v>
      </c>
      <c r="H34" s="38">
        <v>0.35327635327635298</v>
      </c>
    </row>
    <row r="35" spans="2:8" x14ac:dyDescent="0.25">
      <c r="B35" s="38" t="s">
        <v>66</v>
      </c>
      <c r="C35" s="38" t="s">
        <v>9</v>
      </c>
      <c r="D35" s="38">
        <v>9.9920072216264089E-16</v>
      </c>
      <c r="E35" s="38">
        <v>1.0096153846153852</v>
      </c>
      <c r="F35" s="38">
        <v>0</v>
      </c>
      <c r="G35" s="38">
        <v>1.0256410256414239E-2</v>
      </c>
      <c r="H35" s="38">
        <v>0.66666666666666841</v>
      </c>
    </row>
    <row r="36" spans="2:8" x14ac:dyDescent="0.25">
      <c r="B36" s="38" t="s">
        <v>67</v>
      </c>
      <c r="C36" s="38" t="s">
        <v>9</v>
      </c>
      <c r="D36" s="38">
        <v>-0.263532763532763</v>
      </c>
      <c r="E36" s="38">
        <v>0</v>
      </c>
      <c r="F36" s="38">
        <v>0</v>
      </c>
      <c r="G36" s="38">
        <v>1E+30</v>
      </c>
      <c r="H36" s="38">
        <v>0.26353276353276384</v>
      </c>
    </row>
    <row r="37" spans="2:8" x14ac:dyDescent="0.25">
      <c r="B37" s="38" t="s">
        <v>68</v>
      </c>
      <c r="C37" s="38" t="s">
        <v>9</v>
      </c>
      <c r="D37" s="38">
        <v>-0.12037037037036979</v>
      </c>
      <c r="E37" s="38">
        <v>0</v>
      </c>
      <c r="F37" s="38">
        <v>0</v>
      </c>
      <c r="G37" s="38">
        <v>1E+30</v>
      </c>
      <c r="H37" s="38">
        <v>0.12037037037036757</v>
      </c>
    </row>
    <row r="38" spans="2:8" ht="15.75" thickBot="1" x14ac:dyDescent="0.3">
      <c r="B38" s="39" t="s">
        <v>69</v>
      </c>
      <c r="C38" s="39" t="s">
        <v>9</v>
      </c>
      <c r="D38" s="39">
        <v>-9.2592592592584122E-3</v>
      </c>
      <c r="E38" s="39">
        <v>0</v>
      </c>
      <c r="F38" s="39">
        <v>0</v>
      </c>
      <c r="G38" s="39">
        <v>1E+30</v>
      </c>
      <c r="H38" s="39">
        <v>9.2592592592628514E-3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B54E7-BF2E-4E27-A3AF-C3A0C2263EFA}">
  <sheetPr codeName="Sheet4"/>
  <dimension ref="B3:Q34"/>
  <sheetViews>
    <sheetView tabSelected="1" zoomScale="85" zoomScaleNormal="85" workbookViewId="0">
      <selection activeCell="I30" sqref="I30"/>
    </sheetView>
  </sheetViews>
  <sheetFormatPr defaultRowHeight="15" x14ac:dyDescent="0.25"/>
  <cols>
    <col min="2" max="2" width="11.5703125" customWidth="1"/>
    <col min="3" max="3" width="15" customWidth="1"/>
    <col min="4" max="4" width="12.42578125" customWidth="1"/>
    <col min="6" max="6" width="12.5703125" customWidth="1"/>
    <col min="7" max="7" width="11.140625" customWidth="1"/>
    <col min="8" max="8" width="13.7109375" customWidth="1"/>
    <col min="9" max="9" width="13.28515625" customWidth="1"/>
    <col min="10" max="10" width="13.42578125" customWidth="1"/>
    <col min="11" max="11" width="18" customWidth="1"/>
    <col min="12" max="12" width="15.140625" customWidth="1"/>
    <col min="13" max="13" width="12.140625" customWidth="1"/>
    <col min="14" max="14" width="10" customWidth="1"/>
    <col min="16" max="16" width="11.42578125" customWidth="1"/>
    <col min="17" max="17" width="19.5703125" customWidth="1"/>
  </cols>
  <sheetData>
    <row r="3" spans="2:17" x14ac:dyDescent="0.25">
      <c r="C3" s="1" t="s">
        <v>3</v>
      </c>
      <c r="D3" s="2"/>
      <c r="E3" s="3"/>
      <c r="F3" s="1" t="s">
        <v>4</v>
      </c>
      <c r="G3" s="3"/>
      <c r="L3" s="1" t="s">
        <v>3</v>
      </c>
      <c r="M3" s="2"/>
      <c r="N3" s="3"/>
      <c r="O3" s="1" t="s">
        <v>4</v>
      </c>
      <c r="P3" s="3"/>
    </row>
    <row r="4" spans="2:17" ht="30" x14ac:dyDescent="0.25">
      <c r="B4" t="s">
        <v>0</v>
      </c>
      <c r="C4" s="16" t="s">
        <v>1</v>
      </c>
      <c r="D4" s="17" t="s">
        <v>2</v>
      </c>
      <c r="E4" s="18" t="s">
        <v>11</v>
      </c>
      <c r="F4" s="19" t="s">
        <v>5</v>
      </c>
      <c r="G4" s="20" t="s">
        <v>6</v>
      </c>
      <c r="H4" s="21" t="s">
        <v>7</v>
      </c>
      <c r="I4" s="21" t="s">
        <v>8</v>
      </c>
      <c r="J4" s="21" t="s">
        <v>9</v>
      </c>
      <c r="K4" s="21" t="s">
        <v>10</v>
      </c>
      <c r="L4" s="16" t="s">
        <v>1</v>
      </c>
      <c r="M4" s="17" t="s">
        <v>2</v>
      </c>
      <c r="N4" s="18" t="s">
        <v>11</v>
      </c>
      <c r="O4" s="19" t="s">
        <v>5</v>
      </c>
      <c r="P4" s="20" t="s">
        <v>6</v>
      </c>
      <c r="Q4" s="22" t="s">
        <v>15</v>
      </c>
    </row>
    <row r="5" spans="2:17" x14ac:dyDescent="0.25">
      <c r="B5" s="13">
        <v>1</v>
      </c>
      <c r="C5" s="4">
        <v>5.97</v>
      </c>
      <c r="D5" s="5">
        <v>1.2</v>
      </c>
      <c r="E5" s="6">
        <v>99</v>
      </c>
      <c r="F5" s="4">
        <v>45</v>
      </c>
      <c r="G5" s="5">
        <v>1.5</v>
      </c>
      <c r="H5" s="4">
        <f>SUMPRODUCT(C5:E5, $C$31:$E$31)</f>
        <v>0.4252136752136767</v>
      </c>
      <c r="I5" s="4">
        <f>SUMPRODUCT(F5:G5, $F$31:$G$31)</f>
        <v>0.83333333333333504</v>
      </c>
      <c r="J5" s="4">
        <f>H5-I5</f>
        <v>-0.40811965811965834</v>
      </c>
      <c r="K5" s="13">
        <v>0.92751833829617636</v>
      </c>
      <c r="L5" s="5">
        <v>0</v>
      </c>
      <c r="M5" s="5">
        <v>0</v>
      </c>
      <c r="N5" s="6">
        <v>9.3688721040017815E-3</v>
      </c>
      <c r="O5" s="4">
        <v>1.9100878785678056E-2</v>
      </c>
      <c r="P5" s="6">
        <v>0.31374827511075482</v>
      </c>
      <c r="Q5" s="13">
        <v>0</v>
      </c>
    </row>
    <row r="6" spans="2:17" x14ac:dyDescent="0.25">
      <c r="B6" s="14">
        <v>2</v>
      </c>
      <c r="C6" s="7">
        <v>6.57</v>
      </c>
      <c r="D6" s="8">
        <v>2.2999999999999998</v>
      </c>
      <c r="E6" s="9">
        <v>95</v>
      </c>
      <c r="F6" s="7">
        <v>53</v>
      </c>
      <c r="G6" s="29">
        <v>1.6</v>
      </c>
      <c r="H6" s="7">
        <f t="shared" ref="H6:H24" si="0">SUMPRODUCT(C6:E6, $C$31:$E$31)</f>
        <v>0.46794871794871962</v>
      </c>
      <c r="I6" s="7">
        <f t="shared" ref="I6:I24" si="1">SUMPRODUCT(F6:G6, $F$31:$G$31)</f>
        <v>0.88888888888889073</v>
      </c>
      <c r="J6" s="7">
        <f t="shared" ref="J6:J24" si="2">H6-I6</f>
        <v>-0.42094017094017111</v>
      </c>
      <c r="K6" s="14">
        <v>0.89004284988016924</v>
      </c>
      <c r="L6" s="8">
        <v>0</v>
      </c>
      <c r="M6" s="8">
        <v>0</v>
      </c>
      <c r="N6" s="9">
        <v>9.3688721040017815E-3</v>
      </c>
      <c r="O6" s="7">
        <v>1.9100878785678056E-2</v>
      </c>
      <c r="P6" s="9">
        <v>0.31374827511075482</v>
      </c>
      <c r="Q6" s="14">
        <v>0</v>
      </c>
    </row>
    <row r="7" spans="2:17" x14ac:dyDescent="0.25">
      <c r="B7" s="30">
        <v>3</v>
      </c>
      <c r="C7" s="31">
        <v>9.4499999999999993</v>
      </c>
      <c r="D7" s="32">
        <v>2.5</v>
      </c>
      <c r="E7" s="33">
        <v>78</v>
      </c>
      <c r="F7" s="31">
        <v>55</v>
      </c>
      <c r="G7" s="32">
        <v>1.8</v>
      </c>
      <c r="H7" s="31">
        <f t="shared" si="0"/>
        <v>0.67307692307692535</v>
      </c>
      <c r="I7" s="31">
        <f t="shared" si="1"/>
        <v>1.000000000000002</v>
      </c>
      <c r="J7" s="31">
        <f t="shared" si="2"/>
        <v>-0.32692307692307665</v>
      </c>
      <c r="K7" s="30">
        <v>0.73077202411213893</v>
      </c>
      <c r="L7" s="32">
        <v>0</v>
      </c>
      <c r="M7" s="32">
        <v>0</v>
      </c>
      <c r="N7" s="33">
        <v>9.3688721040017815E-3</v>
      </c>
      <c r="O7" s="31">
        <v>1.9100878785678056E-2</v>
      </c>
      <c r="P7" s="33">
        <v>0.31374827511075482</v>
      </c>
      <c r="Q7" s="14">
        <v>0</v>
      </c>
    </row>
    <row r="8" spans="2:17" x14ac:dyDescent="0.25">
      <c r="B8" s="14">
        <v>4</v>
      </c>
      <c r="C8" s="7">
        <v>6.58</v>
      </c>
      <c r="D8" s="29">
        <v>3.2</v>
      </c>
      <c r="E8" s="9">
        <v>86</v>
      </c>
      <c r="F8" s="7">
        <v>65</v>
      </c>
      <c r="G8" s="29">
        <v>1.5</v>
      </c>
      <c r="H8" s="7">
        <f t="shared" si="0"/>
        <v>0.46866096866097035</v>
      </c>
      <c r="I8" s="7">
        <f t="shared" si="1"/>
        <v>0.83333333333333504</v>
      </c>
      <c r="J8" s="7">
        <f t="shared" si="2"/>
        <v>-0.36467236467236469</v>
      </c>
      <c r="K8" s="14">
        <v>0.80572300094415317</v>
      </c>
      <c r="L8" s="8">
        <v>0</v>
      </c>
      <c r="M8" s="8">
        <v>0</v>
      </c>
      <c r="N8" s="9">
        <v>9.3688721040017815E-3</v>
      </c>
      <c r="O8" s="7">
        <v>1.9100878785678056E-2</v>
      </c>
      <c r="P8" s="9">
        <v>0.31374827511075482</v>
      </c>
      <c r="Q8" s="14">
        <v>0</v>
      </c>
    </row>
    <row r="9" spans="2:17" x14ac:dyDescent="0.25">
      <c r="B9" s="14">
        <f>B8+1</f>
        <v>5</v>
      </c>
      <c r="C9" s="7">
        <v>4.6500000000000004</v>
      </c>
      <c r="D9" s="29">
        <v>2.5</v>
      </c>
      <c r="E9" s="9">
        <v>85</v>
      </c>
      <c r="F9" s="7">
        <v>21</v>
      </c>
      <c r="G9" s="29">
        <v>1.3</v>
      </c>
      <c r="H9" s="7">
        <f t="shared" si="0"/>
        <v>0.33119658119658241</v>
      </c>
      <c r="I9" s="7">
        <f t="shared" si="1"/>
        <v>0.72222222222222376</v>
      </c>
      <c r="J9" s="7">
        <f t="shared" si="2"/>
        <v>-0.39102564102564136</v>
      </c>
      <c r="K9" s="14">
        <v>0.79635412884015144</v>
      </c>
      <c r="L9" s="8">
        <v>0</v>
      </c>
      <c r="M9" s="8">
        <v>0</v>
      </c>
      <c r="N9" s="9">
        <v>9.3688721040017815E-3</v>
      </c>
      <c r="O9" s="7">
        <v>1.9100878785678056E-2</v>
      </c>
      <c r="P9" s="9">
        <v>0.31374827511075482</v>
      </c>
      <c r="Q9" s="14">
        <v>0</v>
      </c>
    </row>
    <row r="10" spans="2:17" x14ac:dyDescent="0.25">
      <c r="B10" s="14">
        <f t="shared" ref="B10:B23" si="3">B9+1</f>
        <v>6</v>
      </c>
      <c r="C10" s="7">
        <v>8.24</v>
      </c>
      <c r="D10" s="29">
        <v>3.5</v>
      </c>
      <c r="E10" s="9">
        <v>78</v>
      </c>
      <c r="F10" s="7">
        <v>34</v>
      </c>
      <c r="G10" s="29">
        <v>1.9</v>
      </c>
      <c r="H10" s="7">
        <f t="shared" si="0"/>
        <v>0.58689458689458895</v>
      </c>
      <c r="I10" s="7">
        <f t="shared" si="1"/>
        <v>1.0555555555555576</v>
      </c>
      <c r="J10" s="7">
        <f t="shared" si="2"/>
        <v>-0.46866096866096862</v>
      </c>
      <c r="K10" s="14">
        <v>0.73077202411213893</v>
      </c>
      <c r="L10" s="8">
        <v>0</v>
      </c>
      <c r="M10" s="8">
        <v>0</v>
      </c>
      <c r="N10" s="9">
        <v>9.3688721040017815E-3</v>
      </c>
      <c r="O10" s="7">
        <v>1.9100878785678056E-2</v>
      </c>
      <c r="P10" s="9">
        <v>0.31374827511075482</v>
      </c>
      <c r="Q10" s="14">
        <v>0</v>
      </c>
    </row>
    <row r="11" spans="2:17" x14ac:dyDescent="0.25">
      <c r="B11" s="14">
        <f t="shared" si="3"/>
        <v>7</v>
      </c>
      <c r="C11" s="7">
        <v>9.23</v>
      </c>
      <c r="D11" s="29">
        <v>3.6</v>
      </c>
      <c r="E11" s="9">
        <v>98</v>
      </c>
      <c r="F11" s="7">
        <v>56</v>
      </c>
      <c r="G11" s="29">
        <v>1.5</v>
      </c>
      <c r="H11" s="7">
        <f t="shared" si="0"/>
        <v>0.65740740740740977</v>
      </c>
      <c r="I11" s="7">
        <f t="shared" si="1"/>
        <v>0.83333333333333504</v>
      </c>
      <c r="J11" s="7">
        <f t="shared" si="2"/>
        <v>-0.17592592592592526</v>
      </c>
      <c r="K11" s="14">
        <v>0.91814946619217463</v>
      </c>
      <c r="L11" s="8">
        <v>0</v>
      </c>
      <c r="M11" s="8">
        <v>0</v>
      </c>
      <c r="N11" s="9">
        <v>9.3688721040017815E-3</v>
      </c>
      <c r="O11" s="7">
        <v>1.9100878785678056E-2</v>
      </c>
      <c r="P11" s="9">
        <v>0.31374827511075482</v>
      </c>
      <c r="Q11" s="14">
        <v>0</v>
      </c>
    </row>
    <row r="12" spans="2:17" x14ac:dyDescent="0.25">
      <c r="B12" s="34">
        <f t="shared" si="3"/>
        <v>8</v>
      </c>
      <c r="C12" s="35">
        <v>10.52</v>
      </c>
      <c r="D12" s="29">
        <v>2.5</v>
      </c>
      <c r="E12" s="36">
        <v>95</v>
      </c>
      <c r="F12" s="35">
        <v>53</v>
      </c>
      <c r="G12" s="29">
        <v>1.3</v>
      </c>
      <c r="H12" s="35">
        <v>0.89004284988016924</v>
      </c>
      <c r="I12" s="35">
        <v>1.4202193332849182</v>
      </c>
      <c r="J12" s="35">
        <v>-0.53017648340474899</v>
      </c>
      <c r="K12" s="34">
        <v>0.89004284988016924</v>
      </c>
      <c r="L12" s="29">
        <v>0</v>
      </c>
      <c r="M12" s="29">
        <v>0</v>
      </c>
      <c r="N12" s="36">
        <v>9.3688721040017815E-3</v>
      </c>
      <c r="O12" s="35">
        <v>1.9100878785678056E-2</v>
      </c>
      <c r="P12" s="36">
        <v>0.31374827511075482</v>
      </c>
      <c r="Q12" s="14">
        <v>0</v>
      </c>
    </row>
    <row r="13" spans="2:17" x14ac:dyDescent="0.25">
      <c r="B13" s="14">
        <f t="shared" si="3"/>
        <v>9</v>
      </c>
      <c r="C13" s="7">
        <v>6.32</v>
      </c>
      <c r="D13" s="29">
        <v>2.5</v>
      </c>
      <c r="E13" s="9">
        <v>86</v>
      </c>
      <c r="F13" s="7">
        <v>45</v>
      </c>
      <c r="G13" s="29">
        <v>1.9</v>
      </c>
      <c r="H13" s="7">
        <f t="shared" si="0"/>
        <v>0.45014245014245174</v>
      </c>
      <c r="I13" s="7">
        <f t="shared" si="1"/>
        <v>1.0555555555555576</v>
      </c>
      <c r="J13" s="7">
        <f t="shared" si="2"/>
        <v>-0.60541310541310578</v>
      </c>
      <c r="K13" s="14">
        <v>0.80572300094415317</v>
      </c>
      <c r="L13" s="8">
        <v>0</v>
      </c>
      <c r="M13" s="8">
        <v>0</v>
      </c>
      <c r="N13" s="9">
        <v>9.3688721040017815E-3</v>
      </c>
      <c r="O13" s="7">
        <v>1.9100878785678056E-2</v>
      </c>
      <c r="P13" s="9">
        <v>0.31374827511075482</v>
      </c>
      <c r="Q13" s="14">
        <v>0</v>
      </c>
    </row>
    <row r="14" spans="2:17" x14ac:dyDescent="0.25">
      <c r="B14" s="14">
        <f t="shared" si="3"/>
        <v>10</v>
      </c>
      <c r="C14" s="7">
        <v>7.56</v>
      </c>
      <c r="D14" s="29">
        <v>3.5</v>
      </c>
      <c r="E14" s="9">
        <v>84</v>
      </c>
      <c r="F14" s="7">
        <v>31</v>
      </c>
      <c r="G14" s="29">
        <v>1.1000000000000001</v>
      </c>
      <c r="H14" s="7">
        <f t="shared" si="0"/>
        <v>0.53846153846154032</v>
      </c>
      <c r="I14" s="7">
        <f t="shared" si="1"/>
        <v>0.61111111111111238</v>
      </c>
      <c r="J14" s="7">
        <f t="shared" si="2"/>
        <v>-7.2649572649572058E-2</v>
      </c>
      <c r="K14" s="14">
        <v>0.78698525673614961</v>
      </c>
      <c r="L14" s="8">
        <v>0</v>
      </c>
      <c r="M14" s="8">
        <v>0</v>
      </c>
      <c r="N14" s="9">
        <v>9.3688721040017815E-3</v>
      </c>
      <c r="O14" s="7">
        <v>1.9100878785678056E-2</v>
      </c>
      <c r="P14" s="9">
        <v>0.31374827511075482</v>
      </c>
      <c r="Q14" s="14">
        <v>0</v>
      </c>
    </row>
    <row r="15" spans="2:17" x14ac:dyDescent="0.25">
      <c r="B15" s="14">
        <f t="shared" si="3"/>
        <v>11</v>
      </c>
      <c r="C15" s="7">
        <v>8.65</v>
      </c>
      <c r="D15" s="29">
        <v>3.5</v>
      </c>
      <c r="E15" s="9">
        <v>83</v>
      </c>
      <c r="F15" s="7">
        <v>21</v>
      </c>
      <c r="G15" s="29">
        <v>1.2</v>
      </c>
      <c r="H15" s="7">
        <f t="shared" si="0"/>
        <v>0.61609686609686831</v>
      </c>
      <c r="I15" s="7">
        <f t="shared" si="1"/>
        <v>0.66666666666666796</v>
      </c>
      <c r="J15" s="7">
        <f t="shared" si="2"/>
        <v>-5.056980056979965E-2</v>
      </c>
      <c r="K15" s="14">
        <v>0.77761638463214788</v>
      </c>
      <c r="L15" s="8">
        <v>0</v>
      </c>
      <c r="M15" s="8">
        <v>0</v>
      </c>
      <c r="N15" s="9">
        <v>9.3688721040017815E-3</v>
      </c>
      <c r="O15" s="7">
        <v>1.9100878785678056E-2</v>
      </c>
      <c r="P15" s="9">
        <v>0.31374827511075482</v>
      </c>
      <c r="Q15" s="14">
        <v>0</v>
      </c>
    </row>
    <row r="16" spans="2:17" x14ac:dyDescent="0.25">
      <c r="B16" s="14">
        <f t="shared" si="3"/>
        <v>12</v>
      </c>
      <c r="C16" s="7">
        <v>6.32</v>
      </c>
      <c r="D16" s="29">
        <v>3.4</v>
      </c>
      <c r="E16" s="9">
        <v>89</v>
      </c>
      <c r="F16" s="7">
        <v>45</v>
      </c>
      <c r="G16" s="29">
        <v>1.3</v>
      </c>
      <c r="H16" s="7">
        <f t="shared" si="0"/>
        <v>0.45014245014245174</v>
      </c>
      <c r="I16" s="7">
        <f t="shared" si="1"/>
        <v>0.72222222222222376</v>
      </c>
      <c r="J16" s="7">
        <f t="shared" si="2"/>
        <v>-0.27207977207977202</v>
      </c>
      <c r="K16" s="14">
        <v>0.83382961725615856</v>
      </c>
      <c r="L16" s="8">
        <v>0</v>
      </c>
      <c r="M16" s="8">
        <v>0</v>
      </c>
      <c r="N16" s="9">
        <v>9.3688721040017815E-3</v>
      </c>
      <c r="O16" s="7">
        <v>1.9100878785678056E-2</v>
      </c>
      <c r="P16" s="9">
        <v>0.31374827511075482</v>
      </c>
      <c r="Q16" s="14">
        <v>0</v>
      </c>
    </row>
    <row r="17" spans="2:17" x14ac:dyDescent="0.25">
      <c r="B17" s="14">
        <f t="shared" si="3"/>
        <v>13</v>
      </c>
      <c r="C17" s="7">
        <v>8.58</v>
      </c>
      <c r="D17" s="29">
        <v>3.5</v>
      </c>
      <c r="E17" s="9">
        <v>96</v>
      </c>
      <c r="F17" s="7">
        <v>32</v>
      </c>
      <c r="G17" s="29">
        <v>1.3</v>
      </c>
      <c r="H17" s="7">
        <f t="shared" si="0"/>
        <v>0.61111111111111327</v>
      </c>
      <c r="I17" s="7">
        <f t="shared" si="1"/>
        <v>0.72222222222222376</v>
      </c>
      <c r="J17" s="7">
        <f t="shared" si="2"/>
        <v>-0.11111111111111049</v>
      </c>
      <c r="K17" s="14">
        <v>0.89941172198417108</v>
      </c>
      <c r="L17" s="8">
        <v>0</v>
      </c>
      <c r="M17" s="8">
        <v>0</v>
      </c>
      <c r="N17" s="9">
        <v>9.3688721040017815E-3</v>
      </c>
      <c r="O17" s="7">
        <v>1.9100878785678056E-2</v>
      </c>
      <c r="P17" s="9">
        <v>0.31374827511075482</v>
      </c>
      <c r="Q17" s="14">
        <v>0</v>
      </c>
    </row>
    <row r="18" spans="2:17" x14ac:dyDescent="0.25">
      <c r="B18" s="14">
        <f t="shared" si="3"/>
        <v>14</v>
      </c>
      <c r="C18" s="7">
        <v>5.56</v>
      </c>
      <c r="D18" s="29">
        <v>3.4</v>
      </c>
      <c r="E18" s="9">
        <v>84</v>
      </c>
      <c r="F18" s="7">
        <v>43</v>
      </c>
      <c r="G18" s="29">
        <v>1.5</v>
      </c>
      <c r="H18" s="7">
        <f t="shared" si="0"/>
        <v>0.3960113960113974</v>
      </c>
      <c r="I18" s="7">
        <f t="shared" si="1"/>
        <v>0.83333333333333504</v>
      </c>
      <c r="J18" s="7">
        <f t="shared" si="2"/>
        <v>-0.43732193732193764</v>
      </c>
      <c r="K18" s="14">
        <v>0.78698525673614961</v>
      </c>
      <c r="L18" s="8">
        <v>0</v>
      </c>
      <c r="M18" s="8">
        <v>0</v>
      </c>
      <c r="N18" s="9">
        <v>9.3688721040017815E-3</v>
      </c>
      <c r="O18" s="7">
        <v>1.9100878785678056E-2</v>
      </c>
      <c r="P18" s="9">
        <v>0.31374827511075482</v>
      </c>
      <c r="Q18" s="14">
        <v>0</v>
      </c>
    </row>
    <row r="19" spans="2:17" x14ac:dyDescent="0.25">
      <c r="B19" s="14">
        <f t="shared" si="3"/>
        <v>15</v>
      </c>
      <c r="C19" s="7">
        <v>6.65</v>
      </c>
      <c r="D19" s="29">
        <v>3.6</v>
      </c>
      <c r="E19" s="9">
        <v>93</v>
      </c>
      <c r="F19" s="7">
        <v>55</v>
      </c>
      <c r="G19" s="29">
        <v>1.4</v>
      </c>
      <c r="H19" s="7">
        <f t="shared" si="0"/>
        <v>0.47364672364672533</v>
      </c>
      <c r="I19" s="7">
        <f t="shared" si="1"/>
        <v>0.77777777777777934</v>
      </c>
      <c r="J19" s="7">
        <f t="shared" si="2"/>
        <v>-0.30413105413105401</v>
      </c>
      <c r="K19" s="14">
        <v>0.87130510567216568</v>
      </c>
      <c r="L19" s="8">
        <v>0</v>
      </c>
      <c r="M19" s="8">
        <v>0</v>
      </c>
      <c r="N19" s="9">
        <v>9.3688721040017815E-3</v>
      </c>
      <c r="O19" s="7">
        <v>1.9100878785678056E-2</v>
      </c>
      <c r="P19" s="9">
        <v>0.31374827511075482</v>
      </c>
      <c r="Q19" s="14">
        <v>0</v>
      </c>
    </row>
    <row r="20" spans="2:17" x14ac:dyDescent="0.25">
      <c r="B20" s="14">
        <f t="shared" si="3"/>
        <v>16</v>
      </c>
      <c r="C20" s="7">
        <v>7.52</v>
      </c>
      <c r="D20" s="29">
        <v>2.5</v>
      </c>
      <c r="E20" s="9">
        <v>94</v>
      </c>
      <c r="F20" s="7">
        <v>42</v>
      </c>
      <c r="G20" s="29">
        <v>1.6</v>
      </c>
      <c r="H20" s="7">
        <f t="shared" si="0"/>
        <v>0.53561253561253752</v>
      </c>
      <c r="I20" s="7">
        <f t="shared" si="1"/>
        <v>0.88888888888889073</v>
      </c>
      <c r="J20" s="7">
        <f t="shared" si="2"/>
        <v>-0.35327635327635321</v>
      </c>
      <c r="K20" s="14">
        <v>0.8806739777761674</v>
      </c>
      <c r="L20" s="8">
        <v>0</v>
      </c>
      <c r="M20" s="8">
        <v>0</v>
      </c>
      <c r="N20" s="9">
        <v>9.3688721040017815E-3</v>
      </c>
      <c r="O20" s="7">
        <v>1.9100878785678056E-2</v>
      </c>
      <c r="P20" s="9">
        <v>0.31374827511075482</v>
      </c>
      <c r="Q20" s="14">
        <v>0</v>
      </c>
    </row>
    <row r="21" spans="2:17" x14ac:dyDescent="0.25">
      <c r="B21" s="14">
        <f t="shared" si="3"/>
        <v>17</v>
      </c>
      <c r="C21" s="7">
        <v>9.36</v>
      </c>
      <c r="D21" s="29">
        <v>3.3</v>
      </c>
      <c r="E21" s="9">
        <v>85</v>
      </c>
      <c r="F21" s="7">
        <v>35</v>
      </c>
      <c r="G21" s="29">
        <v>1.2</v>
      </c>
      <c r="H21" s="7">
        <f t="shared" si="0"/>
        <v>0.66666666666666896</v>
      </c>
      <c r="I21" s="7">
        <f t="shared" si="1"/>
        <v>0.66666666666666796</v>
      </c>
      <c r="J21" s="7">
        <f t="shared" si="2"/>
        <v>9.9920072216264089E-16</v>
      </c>
      <c r="K21" s="14">
        <v>0.79635412884015144</v>
      </c>
      <c r="L21" s="8">
        <v>0</v>
      </c>
      <c r="M21" s="8">
        <v>0</v>
      </c>
      <c r="N21" s="9">
        <v>9.3688721040017815E-3</v>
      </c>
      <c r="O21" s="7">
        <v>1.9100878785678056E-2</v>
      </c>
      <c r="P21" s="9">
        <v>0.31374827511075482</v>
      </c>
      <c r="Q21" s="14">
        <v>1.0096153846153852</v>
      </c>
    </row>
    <row r="22" spans="2:17" x14ac:dyDescent="0.25">
      <c r="B22" s="14">
        <f t="shared" si="3"/>
        <v>18</v>
      </c>
      <c r="C22" s="7">
        <v>9.56</v>
      </c>
      <c r="D22" s="29">
        <v>3.6</v>
      </c>
      <c r="E22" s="9">
        <v>96</v>
      </c>
      <c r="F22" s="7">
        <v>45</v>
      </c>
      <c r="G22" s="29">
        <v>1.7</v>
      </c>
      <c r="H22" s="7">
        <f t="shared" si="0"/>
        <v>0.6809116809116833</v>
      </c>
      <c r="I22" s="7">
        <f t="shared" si="1"/>
        <v>0.94444444444444631</v>
      </c>
      <c r="J22" s="7">
        <f t="shared" si="2"/>
        <v>-0.263532763532763</v>
      </c>
      <c r="K22" s="14">
        <v>0.89941172198417108</v>
      </c>
      <c r="L22" s="8">
        <v>0</v>
      </c>
      <c r="M22" s="8">
        <v>0</v>
      </c>
      <c r="N22" s="9">
        <v>9.3688721040017815E-3</v>
      </c>
      <c r="O22" s="7">
        <v>1.9100878785678056E-2</v>
      </c>
      <c r="P22" s="9">
        <v>0.31374827511075482</v>
      </c>
      <c r="Q22" s="14">
        <v>0</v>
      </c>
    </row>
    <row r="23" spans="2:17" x14ac:dyDescent="0.25">
      <c r="B23" s="14">
        <f t="shared" si="3"/>
        <v>19</v>
      </c>
      <c r="C23" s="7">
        <v>8.4499999999999993</v>
      </c>
      <c r="D23" s="29">
        <v>2.1</v>
      </c>
      <c r="E23" s="9">
        <v>94</v>
      </c>
      <c r="F23" s="7">
        <v>31</v>
      </c>
      <c r="G23" s="29">
        <v>1.3</v>
      </c>
      <c r="H23" s="7">
        <f t="shared" si="0"/>
        <v>0.60185185185185397</v>
      </c>
      <c r="I23" s="7">
        <f t="shared" si="1"/>
        <v>0.72222222222222376</v>
      </c>
      <c r="J23" s="7">
        <f t="shared" si="2"/>
        <v>-0.12037037037036979</v>
      </c>
      <c r="K23" s="14">
        <v>0.8806739777761674</v>
      </c>
      <c r="L23" s="8">
        <v>0</v>
      </c>
      <c r="M23" s="8">
        <v>0</v>
      </c>
      <c r="N23" s="9">
        <v>9.3688721040017815E-3</v>
      </c>
      <c r="O23" s="7">
        <v>1.9100878785678056E-2</v>
      </c>
      <c r="P23" s="9">
        <v>0.31374827511075482</v>
      </c>
      <c r="Q23" s="14">
        <v>0</v>
      </c>
    </row>
    <row r="24" spans="2:17" x14ac:dyDescent="0.25">
      <c r="B24" s="15">
        <v>20</v>
      </c>
      <c r="C24" s="10">
        <v>8.4499999999999993</v>
      </c>
      <c r="D24" s="11">
        <v>2.1</v>
      </c>
      <c r="E24" s="12">
        <v>98</v>
      </c>
      <c r="F24" s="10">
        <v>30</v>
      </c>
      <c r="G24" s="11">
        <v>1.1000000000000001</v>
      </c>
      <c r="H24" s="10">
        <f t="shared" si="0"/>
        <v>0.60185185185185397</v>
      </c>
      <c r="I24" s="10">
        <f t="shared" si="1"/>
        <v>0.61111111111111238</v>
      </c>
      <c r="J24" s="10">
        <f t="shared" si="2"/>
        <v>-9.2592592592584122E-3</v>
      </c>
      <c r="K24" s="15">
        <v>0.91814946619217463</v>
      </c>
      <c r="L24" s="11">
        <v>0</v>
      </c>
      <c r="M24" s="11">
        <v>0</v>
      </c>
      <c r="N24" s="12">
        <v>9.3688721040017815E-3</v>
      </c>
      <c r="O24" s="10">
        <v>1.9100878785678056E-2</v>
      </c>
      <c r="P24" s="12">
        <v>0.31374827511075482</v>
      </c>
      <c r="Q24" s="15">
        <v>0</v>
      </c>
    </row>
    <row r="26" spans="2:17" x14ac:dyDescent="0.25">
      <c r="B26" s="23" t="s">
        <v>0</v>
      </c>
      <c r="C26" s="24">
        <v>3</v>
      </c>
    </row>
    <row r="27" spans="2:17" x14ac:dyDescent="0.25">
      <c r="B27" s="23" t="s">
        <v>12</v>
      </c>
      <c r="C27" s="24">
        <f>INDEX(H5:H24, C26, 1)</f>
        <v>0.67307692307692535</v>
      </c>
    </row>
    <row r="28" spans="2:17" x14ac:dyDescent="0.25">
      <c r="B28" s="23" t="s">
        <v>13</v>
      </c>
      <c r="C28" s="24">
        <f>INDEX(I5:I24, C26, 1)</f>
        <v>1.000000000000002</v>
      </c>
    </row>
    <row r="29" spans="2:17" x14ac:dyDescent="0.25">
      <c r="B29" s="8"/>
      <c r="C29" s="8"/>
    </row>
    <row r="30" spans="2:17" ht="30" x14ac:dyDescent="0.25">
      <c r="C30" s="25" t="s">
        <v>1</v>
      </c>
      <c r="D30" s="25" t="s">
        <v>2</v>
      </c>
      <c r="E30" s="25" t="s">
        <v>11</v>
      </c>
      <c r="F30" s="25" t="s">
        <v>5</v>
      </c>
      <c r="G30" s="25" t="s">
        <v>6</v>
      </c>
    </row>
    <row r="31" spans="2:17" x14ac:dyDescent="0.25">
      <c r="B31" t="s">
        <v>14</v>
      </c>
      <c r="C31" s="26">
        <v>7.1225071225071476E-2</v>
      </c>
      <c r="D31" s="27">
        <v>0</v>
      </c>
      <c r="E31" s="27">
        <v>0</v>
      </c>
      <c r="F31" s="27">
        <v>0</v>
      </c>
      <c r="G31" s="28">
        <v>0.55555555555555669</v>
      </c>
    </row>
    <row r="33" spans="2:7" x14ac:dyDescent="0.25">
      <c r="B33" t="s">
        <v>16</v>
      </c>
      <c r="C33" s="4">
        <v>9.4499999999999993</v>
      </c>
      <c r="D33" s="5">
        <v>2.5</v>
      </c>
      <c r="E33" s="5">
        <v>78</v>
      </c>
      <c r="F33" s="5">
        <v>55</v>
      </c>
      <c r="G33" s="6">
        <v>1.8</v>
      </c>
    </row>
    <row r="34" spans="2:7" x14ac:dyDescent="0.25">
      <c r="B34" t="s">
        <v>17</v>
      </c>
      <c r="C34" s="42">
        <f>SUMPRODUCT(C5:C24, $Q$5:$Q$24)</f>
        <v>9.4500000000000046</v>
      </c>
      <c r="D34" s="43">
        <f t="shared" ref="D34:G34" si="4">SUMPRODUCT(D5:D24, $Q$5:$Q$24)</f>
        <v>3.3317307692307709</v>
      </c>
      <c r="E34" s="43">
        <f t="shared" si="4"/>
        <v>85.81730769230775</v>
      </c>
      <c r="F34" s="43">
        <f t="shared" si="4"/>
        <v>35.336538461538481</v>
      </c>
      <c r="G34" s="44">
        <f t="shared" si="4"/>
        <v>1.2115384615384623</v>
      </c>
    </row>
  </sheetData>
  <mergeCells count="4">
    <mergeCell ref="C3:E3"/>
    <mergeCell ref="F3:G3"/>
    <mergeCell ref="L3:N3"/>
    <mergeCell ref="O3:P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 Problem</vt:lpstr>
      <vt:lpstr>Problem set up</vt:lpstr>
      <vt:lpstr>Solution</vt:lpstr>
      <vt:lpstr>Sensitivity Report 1</vt:lpstr>
      <vt:lpstr>Optimizing Rig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Trent</dc:creator>
  <cp:lastModifiedBy>Michael Trent</cp:lastModifiedBy>
  <dcterms:created xsi:type="dcterms:W3CDTF">2019-04-16T22:23:01Z</dcterms:created>
  <dcterms:modified xsi:type="dcterms:W3CDTF">2019-04-16T23:11:02Z</dcterms:modified>
</cp:coreProperties>
</file>